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Ratings" sheetId="2" state="visible" r:id="rId2"/>
    <sheet name="System" sheetId="3" state="hidden" r:id="rId3"/>
    <sheet name="Summary" sheetId="4" state="visible" r:id="rId4"/>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9">
    <font>
      <name val="Calibri"/>
      <family val="2"/>
      <color theme="1"/>
      <sz val="11"/>
      <scheme val="minor"/>
    </font>
    <font>
      <name val="Arial"/>
      <b val="1"/>
      <sz val="12"/>
    </font>
    <font>
      <name val="Arial"/>
      <sz val="10"/>
    </font>
    <font>
      <name val="Arial"/>
      <b val="1"/>
      <sz val="10"/>
    </font>
    <font>
      <name val="Arial"/>
      <b val="1"/>
      <color rgb="00FFFFFF"/>
      <sz val="10"/>
    </font>
    <font>
      <name val="Arial"/>
      <i val="1"/>
      <color rgb="00595959"/>
      <sz val="9"/>
    </font>
    <font>
      <name val="Arial"/>
      <sz val="9"/>
    </font>
    <font>
      <name val="Arial"/>
      <b val="1"/>
      <i val="1"/>
      <sz val="10"/>
    </font>
    <font>
      <name val="Arial"/>
      <b val="1"/>
      <color rgb="009C0006"/>
      <sz val="11"/>
    </font>
  </fonts>
  <fills count="6">
    <fill>
      <patternFill/>
    </fill>
    <fill>
      <patternFill patternType="gray125"/>
    </fill>
    <fill>
      <patternFill patternType="solid">
        <fgColor rgb="001F3864"/>
      </patternFill>
    </fill>
    <fill>
      <patternFill patternType="solid">
        <fgColor rgb="00EDEDED"/>
      </patternFill>
    </fill>
    <fill>
      <patternFill patternType="solid">
        <fgColor rgb="00FFFF00"/>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2" fillId="4" borderId="1" applyAlignment="1" pivotButton="0" quotePrefix="0" xfId="0">
      <alignment horizontal="center" vertical="top" wrapText="1"/>
    </xf>
    <xf numFmtId="0" fontId="5" fillId="0" borderId="0" pivotButton="0" quotePrefix="0" xfId="0"/>
    <xf numFmtId="0" fontId="6" fillId="0" borderId="1" pivotButton="0" quotePrefix="0" xfId="0"/>
    <xf numFmtId="164" fontId="6" fillId="0" borderId="1" pivotButton="0" quotePrefix="0" xfId="0"/>
    <xf numFmtId="0" fontId="7" fillId="0" borderId="0" applyAlignment="1" pivotButton="0" quotePrefix="0" xfId="0">
      <alignment vertical="top" wrapText="1"/>
    </xf>
    <xf numFmtId="0" fontId="4" fillId="2" borderId="0" applyAlignment="1" pivotButton="0" quotePrefix="0" xfId="0">
      <alignment vertical="top" wrapText="1"/>
    </xf>
    <xf numFmtId="0" fontId="2" fillId="0" borderId="1" applyAlignment="1" pivotButton="0" quotePrefix="0" xfId="0">
      <alignment vertical="top" wrapText="1"/>
    </xf>
    <xf numFmtId="2" fontId="2" fillId="0" borderId="1" applyAlignment="1" pivotButton="0" quotePrefix="0" xfId="0">
      <alignment vertical="top" wrapText="1"/>
    </xf>
    <xf numFmtId="165" fontId="2" fillId="0" borderId="1" applyAlignment="1" pivotButton="0" quotePrefix="0" xfId="0">
      <alignment vertical="top" wrapText="1"/>
    </xf>
    <xf numFmtId="0" fontId="8"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builder</author>
  </authors>
  <commentList>
    <comment ref="A2" authorId="0" shapeId="0">
      <text>
        <t>Worked example showing the expected format. Not counted.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ht="48" customHeight="1">
      <c r="A1" s="16" t="inlineStr">
        <is>
          <t>AI-RATED COPY. Every rating in this workbook was produced by Claude Opus 5.5 (AI model), not by a human. The ratings were made blind to the System sheet (only complaint, sources, draft and reference fix were read) and each row carries the rater's reason in the Notes column. The blank human workbook is human_eval_sheet.xlsx.</t>
        </is>
      </c>
    </row>
    <row r="3">
      <c r="A3" s="1" t="inlineStr">
        <is>
          <t>Human evaluation of draft resolutions (50 samples)</t>
        </is>
      </c>
    </row>
    <row r="4">
      <c r="A4" s="2" t="inlineStr"/>
    </row>
    <row r="5">
      <c r="A5" s="2" t="inlineStr">
        <is>
          <t>Purpose: check whether the system's drafts are actually useful and safe, and whether its RESOLVE / REVIEW / ESCALATE decisions match what a support agent would do. Your ratings also calibrate the heuristic confidence score and validate the automatic LLM-judge scores.</t>
        </is>
      </c>
    </row>
    <row r="6">
      <c r="A6" s="2" t="inlineStr"/>
    </row>
    <row r="7">
      <c r="A7" s="3" t="inlineStr">
        <is>
          <t>How to rate (Ratings sheet, about 1 minute per row):</t>
        </is>
      </c>
    </row>
    <row r="8">
      <c r="A8" s="2" t="inlineStr">
        <is>
          <t>1. Read the complaint (column B), then the draft (column D). Citations like [3] refer to the numbered sources in column C.</t>
        </is>
      </c>
    </row>
    <row r="9">
      <c r="A9" s="2" t="inlineStr">
        <is>
          <t>2. Use the reference fix (column E) as the ground truth for what actually resolves this issue.</t>
        </is>
      </c>
    </row>
    <row r="10">
      <c r="A10" s="2" t="inlineStr">
        <is>
          <t>3. Fill ONLY the yellow cells (F to K). Each has a dropdown, except Notes.</t>
        </is>
      </c>
    </row>
    <row r="11">
      <c r="A11" s="2" t="inlineStr">
        <is>
          <t>4. Row 2 is a worked EXAMPLE (grey) showing the expected format; it is not counted.</t>
        </is>
      </c>
    </row>
    <row r="12">
      <c r="A12" s="2" t="inlineStr">
        <is>
          <t>5. Rate independently: do not unhide the 'System' sheet or open 'Summary' until all rows are done.</t>
        </is>
      </c>
    </row>
    <row r="13">
      <c r="A13" s="2" t="inlineStr"/>
    </row>
    <row r="14">
      <c r="A14" s="3" t="inlineStr">
        <is>
          <t>Rubric</t>
        </is>
      </c>
    </row>
    <row r="15">
      <c r="A15" s="2" t="inlineStr">
        <is>
          <t>Relevance (1-5): does the draft address this customer's actual problem? 1 = wrong problem, 5 = exactly it.</t>
        </is>
      </c>
    </row>
    <row r="16">
      <c r="A16" s="2" t="inlineStr">
        <is>
          <t>Completeness (1-5): are the key steps of the reference fix present? 1 = none, 5 = all essential steps.</t>
        </is>
      </c>
    </row>
    <row r="17">
      <c r="A17" s="2" t="inlineStr">
        <is>
          <t>Correctness (1-5): are the steps right and safe? 1 = wrong or harmful advice, 5 = fully correct.</t>
        </is>
      </c>
    </row>
    <row r="18">
      <c r="A18" s="2" t="inlineStr">
        <is>
          <t>Safe to use as-is (Yes/No): would you send these steps to the customer without editing?</t>
        </is>
      </c>
    </row>
    <row r="19">
      <c r="A19" s="2" t="inlineStr">
        <is>
          <t>Your decision: RESOLVE = use the draft; REVIEW = usable after an agent checks or edits it; ESCALATE = not usable, needs a specialist.</t>
        </is>
      </c>
    </row>
    <row r="20">
      <c r="A20" s="2" t="inlineStr">
        <is>
          <t>Empty drafts (the system declined): rate relevance/completeness/correctness as 1 and give your decision for the case (ESCALATE if declining was right).</t>
        </is>
      </c>
    </row>
    <row r="21">
      <c r="A21" s="2" t="inlineStr">
        <is>
          <t>Notes (optional): anything wrong or notable, e.g. 'step 2 contradicts the fix', 'wrong scenario'.</t>
        </is>
      </c>
    </row>
    <row r="22">
      <c r="A22" s="2" t="inlineStr"/>
    </row>
    <row r="23">
      <c r="A23" s="2" t="inlineStr">
        <is>
          <t>Legend: yellow cell = your input. Grey row = example. Blue header = system-provided content.</t>
        </is>
      </c>
    </row>
    <row r="24">
      <c r="A24" s="2" t="inlineStr">
        <is>
          <t>When done: save the file and run  python evaluation/human_eval_analysis.py</t>
        </is>
      </c>
    </row>
    <row r="25">
      <c r="A25" s="2" t="inlineStr">
        <is>
          <t>Provenance: drafts from Groq qwen/qwen3.8-27b (eval run in experiments/results/generation_llm.json); sources re-retrieved with the production retriever and verified against that run; sample seed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45" customWidth="1" min="2" max="2"/>
    <col width="70" customWidth="1" min="3" max="3"/>
    <col width="60" customWidth="1" min="4" max="4"/>
    <col width="50" customWidth="1" min="5" max="5"/>
    <col width="11" customWidth="1" min="6" max="6"/>
    <col width="13" customWidth="1" min="7" max="7"/>
    <col width="12" customWidth="1" min="8" max="8"/>
    <col width="11" customWidth="1" min="9" max="9"/>
    <col width="13" customWidth="1" min="10" max="10"/>
    <col width="30" customWidth="1" min="11" max="11"/>
  </cols>
  <sheetData>
    <row r="1" ht="42" customHeight="1">
      <c r="A1" s="4" t="inlineStr">
        <is>
          <t>Sample</t>
        </is>
      </c>
      <c r="B1" s="4" t="inlineStr">
        <is>
          <t>Customer complaint</t>
        </is>
      </c>
      <c r="C1" s="4" t="inlineStr">
        <is>
          <t>Sources the draft could cite</t>
        </is>
      </c>
      <c r="D1" s="4" t="inlineStr">
        <is>
          <t>Draft resolution (system)</t>
        </is>
      </c>
      <c r="E1" s="4" t="inlineStr">
        <is>
          <t>Reference fix (ground truth)</t>
        </is>
      </c>
      <c r="F1" s="4" t="inlineStr">
        <is>
          <t>Relevance
(1-5)</t>
        </is>
      </c>
      <c r="G1" s="4" t="inlineStr">
        <is>
          <t>Completeness
(1-5)</t>
        </is>
      </c>
      <c r="H1" s="4" t="inlineStr">
        <is>
          <t>Correctness
(1-5)</t>
        </is>
      </c>
      <c r="I1" s="4" t="inlineStr">
        <is>
          <t>Safe to use
as-is?</t>
        </is>
      </c>
      <c r="J1" s="4" t="inlineStr">
        <is>
          <t>Your decision</t>
        </is>
      </c>
      <c r="K1" s="4" t="inlineStr">
        <is>
          <t>Notes (AI rater's reason)</t>
        </is>
      </c>
    </row>
    <row r="2">
      <c r="A2" s="5" t="inlineStr">
        <is>
          <t>EX</t>
        </is>
      </c>
      <c r="B2" s="5" t="inlineStr">
        <is>
          <t>I can't set up my voicemail, callers just hear it ring out.</t>
        </is>
      </c>
      <c r="C2" s="5" t="inlineStr">
        <is>
          <t>[1] ticket TKT-001501: Complaint: my voicemail isn't working… Resolution: Activate voicemail on the line…
[2] KB-0032 Setting up voicemail: 1. Activate voicemail… 2. Set call diversion on no answer…</t>
        </is>
      </c>
      <c r="D2" s="5" t="inlineStr">
        <is>
          <t>1. Activate voicemail on the line from the account system [1][2]
2. Set call diversion on no answer to the voicemail number [2]</t>
        </is>
      </c>
      <c r="E2" s="5" t="inlineStr">
        <is>
          <t>- Activate voicemail on the line
- Set call diversion on no answer
- Reset the voicemail PIN and send it by SMS</t>
        </is>
      </c>
      <c r="F2" s="5" t="n">
        <v>4</v>
      </c>
      <c r="G2" s="5" t="n">
        <v>3</v>
      </c>
      <c r="H2" s="5" t="n">
        <v>5</v>
      </c>
      <c r="I2" s="5" t="inlineStr">
        <is>
          <t>Yes</t>
        </is>
      </c>
      <c r="J2" s="5" t="inlineStr">
        <is>
          <t>RESOLVE</t>
        </is>
      </c>
      <c r="K2" s="5" t="inlineStr">
        <is>
          <t>Example only: missing the PIN reset step.</t>
        </is>
      </c>
    </row>
    <row r="3" ht="230" customHeight="1">
      <c r="A3" s="6" t="inlineStr">
        <is>
          <t>H01</t>
        </is>
      </c>
      <c r="B3" s="6" t="inlineStr">
        <is>
          <t>Hi, The technician fitted all the equipment but we still can't get online at the new house. The router shows no WAN. It has been happening for about a week. What are my options? Thanks.</t>
        </is>
      </c>
      <c r="C3" s="6" t="inlineStr">
        <is>
          <t>[1] ticket TKT-000906: Complaint: To whom it may concern, The router was reset and the internet light is now red. I've already restarted it again. We take card payments through this connection and the shop can't trade. Honestly this is ridiculous and I…
[2] ticket TKT-000924: Complaint: I reset my modem router and it no longer gets online. It was a third-party router. It has been happening for about a week. Thank you, your support has been great before. Thanks. Resolution: Caller described no internet…
[3] ticket TKT-000920: Complaint: Good morning, The router was reset and the internet light is now red. I lost the sticker with details. I work from home and keep missing client calls. Thank you, your support has been great before. Resolution: Investig…
[4] ticket TKT-000908: Complaint: Hi, The router was reset and the internet light is now red. It was a third-party router. I've already tried the default password. It has been happening since last month. I can't watch anything in the evenings. Very fru…
[5] ticket TKT-000911: Complaint: Hey, I reset my modem router and it no longer gets online. I've already checked cables. My kids need it for school work. I'm really fed up with this. Resolution: Investigated no internet after a router factory reset. A…
[6] ticket TKT-000102: Complaint: Hi there, No internet at all, the fiber box on the wall shows a red light. I've already rebooted the router. My kids need it for school work. Thank you, your support has been great before. Regards. Resolution: Investig…
[7] kb article KB-0019: No internet after a router factory reset Applies to: router, broadband. Typical symptoms: I factory reset my router and now there's no internet; after pressing the reset button the router connects to wifi but not the internet. Ca…
[8] kb article KB-0021: Router ethernet port not working Applies to: router. Typical symptoms: one of the ethernet ports on my router has stopped working; my PC gets no connection when plugged into the router's LAN port. Cause: Faulty LAN port, damaged …</t>
        </is>
      </c>
      <c r="D3" s="6" t="inlineStr">
        <is>
          <t>1. Log in to the router admin page using the default credentials on the label. [1][2][3][4][5][7]
2. Re-enter the broadband PPPoE username and password from the account. [1][2][3][4][5][7]
3. Set the WAN VLAN ID required by the network if using a third-party router. [1][2][3][4][5][7]
4. Reconfigure the Wi-Fi name and password. [1][4][7]
5. If the issue is not resolved, escalate to second-line support with the results of each step. [7]</t>
        </is>
      </c>
      <c r="E3" s="6" t="inlineStr">
        <is>
          <t>- Check the order status and that the ONT serial number is registered to the account
- Trigger provisioning of the service profile on the OLT
- Ask the customer to reboot the ONT and router after provisioning
- If still not working, escalate to the provisioning team</t>
        </is>
      </c>
      <c r="F3" s="7" t="n">
        <v>2</v>
      </c>
      <c r="G3" s="7" t="n">
        <v>1</v>
      </c>
      <c r="H3" s="7" t="n">
        <v>2</v>
      </c>
      <c r="I3" s="7" t="inlineStr">
        <is>
          <t>No</t>
        </is>
      </c>
      <c r="J3" s="7" t="inlineStr">
        <is>
          <t>ESCALATE</t>
        </is>
      </c>
      <c r="K3" s="7" t="inlineStr">
        <is>
          <t>[AI] Wrong scenario: factory-reset router steps (PPPoE credentials, VLAN) for a new install that has not been provisioned; the new-fibre KB was not retrieved.</t>
        </is>
      </c>
    </row>
    <row r="4" ht="230" customHeight="1">
      <c r="A4" s="6" t="inlineStr">
        <is>
          <t>H02</t>
        </is>
      </c>
      <c r="B4" s="6" t="inlineStr">
        <is>
          <t>The device that connects us to the internet shows no signs of life whatsoever. I've already pressed the power button. It has been happening since Monday. It's really disruptive. This is completely unacceptable. Regards.</t>
        </is>
      </c>
      <c r="C4" s="6" t="inlineStr">
        <is>
          <t>[1] ticket TKT-000850: Complaint: Hi, My cable modem has stopped powering on. The adapter makes a buzzing sound. It has been happening for three days. I run my business from home and this is costing me money. I'm really fed up with this. Cheers. Resolu…
[2] ticket TKT-000848: Complaint: To whom it may concern, My cable modem has stopped powering on. The adapter makes a buzzing sound. We take card payments through this connection and the shop can't trade. This is completely unacceptable. Cheers. Resolu…
[3] ticket TKT-000865: Complaint: My cable modem has stopped powering on. The adapter makes a buzzing sound. Please advise. Cheers. Resolution: Customer reported modem has no power lights. Confirm the wall socket works and the power adapter is firmly c…
[4] ticket TKT-000122: Complaint: Hey, No internet at all, the fiber box on the wall shows a red light. The cable runs behind a cupboard. I've already power cycled the ONT. It has been happening since yesterday. Thanks in advance, you've always been he…
[5] ticket TKT-000838: Complaint: Hello, The modem won't turn on, the power light stays off. There was a power cut last night. I've already tried a different socket. It has been happening for three days. It's really disruptive. Thanks in advance, you'v…
[6] ticket TKT-000893: Complaint: To whom it may concern, My modem is completely dead with no lights at all. There was a power cut last night. I've already pressed the power button. It has been happening for three days. It's really disruptive. Very fru…
[7] kb article KB-0018: Modem has no power lights Applies to: modem. Typical symptoms: my modem is completely dead with no lights at all; the modem won't turn on, the power light stays off. Cause: Failed power adapter or modem hardware failure, often af…
[8] kb article KB-0002: Broadband drops when the phone rings: line noise and microfilters Applies to: broadband. Typical symptoms: my broadband disconnects whenever the home phone rings; there is crackling on the landline and the internet drops at the s…</t>
        </is>
      </c>
      <c r="D4" s="6" t="inlineStr">
        <is>
          <t>1. Confirm the wall socket works and the power adapter is firmly connected to the modem. [1][2][3][5][6][7]
2. Test the modem with a compatible replacement power adapter if one is available. [1][2][3][5][6][7]
3. If the modem still has no lights after testing the adapter, send a replacement modem by next-day delivery. [1][3][5][7]
4. Offer a mobile data hotspot to the customer while the replacement modem is in transit. [5][7]
5. If the issue is not resolved by the replacement modem, escalate to second-line support with the results of each step. [7]</t>
        </is>
      </c>
      <c r="E4" s="6" t="inlineStr">
        <is>
          <t>- Confirm the wall socket works and the power adapter is firmly connected
- Test with a compatible replacement power adapter if available
- If the modem still has no lights, send a replacement modem by next-day delivery
- Offer a mobile data hotspot while the replacement is in transit</t>
        </is>
      </c>
      <c r="F4" s="7" t="n">
        <v>5</v>
      </c>
      <c r="G4" s="7" t="n">
        <v>5</v>
      </c>
      <c r="H4" s="7" t="n">
        <v>5</v>
      </c>
      <c r="I4" s="7" t="inlineStr">
        <is>
          <t>Yes</t>
        </is>
      </c>
      <c r="J4" s="7" t="inlineStr">
        <is>
          <t>RESOLVE</t>
        </is>
      </c>
      <c r="K4" s="7" t="inlineStr">
        <is>
          <t>[AI] All four reference steps plus a sensible escalation step.</t>
        </is>
      </c>
    </row>
    <row r="5" ht="230" customHeight="1">
      <c r="A5" s="6" t="inlineStr">
        <is>
          <t>H03</t>
        </is>
      </c>
      <c r="B5" s="6" t="inlineStr">
        <is>
          <t>To whom it may concern, The glass connection was put in days ago and still hasn't gone live. I've already rebooted the router. It has been happening for about a week. Thanks in advance, you've always been helpful. Regards.</t>
        </is>
      </c>
      <c r="C5" s="6" t="inlineStr">
        <is>
          <t>[1] ticket TKT-002006: Complaint: To whom it may concern, The connection was down between midnight and 4am. I've already restarted the router. It has been happening since last month. My kids need it for school work. Very frustrating, please sort it out…
[2] ticket TKT-001049: Complaint: Hi, My new fiber line was installed but isn't activated. I can't watch anything in the evenings. Very frustrating, please sort it out. Regards. Resolution: Customer did not respond to follow-up. Closed without confirme…
[3] ticket TKT-002036: Complaint: Hey, The connection was down between midnight and 4am. It's only overnight. I've already restarted the router. Thanks in advance, you've always been helpful. Resolution: Caller described overnight outages from planned …
[4] ticket TKT-002018: Complaint: The connection was down between midnight and 4am. I've already restarted the router. My kids need it for school work. Very frustrating, please sort it out. Resolution: Ticket raised for overnight outages from planned m…
[5] ticket TKT-002032: Complaint: Good morning, Service cut out late last night and came back in the morning. It's only overnight. I've already restarted the router. It has been happening for about a week. Thank you, your support has been great before.…
[6] ticket TKT-001946: Complaint: Hi, The overhead cable was damaged in the wind and service is dead. I've already restarted the router. It has been happening for two weeks. I run my business from home and this is costing me money. Thanks in advance, y…
[7] kb article KB-0021: Router ethernet port not working Applies to: router. Typical symptoms: one of the ethernet ports on my router has stopped working; my PC gets no connection when plugged into the router's LAN port. Cause: Faulty LAN port, damaged …
[8] kb article KB-0022: New fibre installed but not active Applies to: fiber. Typical symptoms: the engineer installed my fibre yesterday but there's still no service; my new fiber line was installed but isn't activated. Cause: Order not yet provisioned…</t>
        </is>
      </c>
      <c r="D5" s="6" t="inlineStr">
        <is>
          <t>1. Check the order status and verify that the ONT serial number is registered to the customer's account. [8]
2. Trigger provisioning of the service profile on the OLT. [8]
3. Ask the customer to reboot the ONT and router after provisioning. [8]
4. If the service is still not active, escalate the issue to the provisioning team. [8]</t>
        </is>
      </c>
      <c r="E5" s="6" t="inlineStr">
        <is>
          <t>- Check the order status and that the ONT serial number is registered to the account
- Trigger provisioning of the service profile on the OLT
- Ask the customer to reboot the ONT and router after provisioning
- If still not working, escalate to the provisioning team</t>
        </is>
      </c>
      <c r="F5" s="7" t="n">
        <v>5</v>
      </c>
      <c r="G5" s="7" t="n">
        <v>5</v>
      </c>
      <c r="H5" s="7" t="n">
        <v>5</v>
      </c>
      <c r="I5" s="7" t="inlineStr">
        <is>
          <t>Yes</t>
        </is>
      </c>
      <c r="J5" s="7" t="inlineStr">
        <is>
          <t>RESOLVE</t>
        </is>
      </c>
      <c r="K5" s="7" t="inlineStr">
        <is>
          <t>[AI] Matches the reference; uses the one relevant source [8] among overnight-outage tickets.</t>
        </is>
      </c>
    </row>
    <row r="6" ht="230" customHeight="1">
      <c r="A6" s="6" t="inlineStr">
        <is>
          <t>H04</t>
        </is>
      </c>
      <c r="B6" s="6" t="inlineStr">
        <is>
          <t>After work hours the connection crawls and video calls freeze, mornings are perfect. It has been like this for weeks. I can't watch anything in the evenings. I'm really fed up with this.</t>
        </is>
      </c>
      <c r="C6" s="6" t="inlineStr">
        <is>
          <t>[1] ticket TKT-000292: Complaint: Streaming buffers every night even though speeds are fine in the morning. Wired speed tests are slow too. I work from home and keep missing client calls. I'm really fed up with this. Resolution: Caller described slow b…
[2] ticket TKT-000295: Complaint: Hello, Streaming buffers every night even though speeds are fine in the morning. I've already ran speed tests. It has been happening for about a week. I work from home and keep missing client calls. Thank you, your sup…
[3] ticket TKT-000297: Complaint: Internet speed drops massively at peak times in the evening. It has been happening for two weeks. I can't watch anything in the evenings. I'm really fed up with this. Cheers. Resolution: Caller described slow broadband…
[4] ticket TKT-000296: Complaint: Streaming buffers every night even though speeds are fine in the morning. The whole street seems affected. I've already restarted the router. My kids need it for school work. Thank you, your support has been great befo…
[5] ticket TKT-000468: Complaint: To whom it may concern, The wireless signal is weak in some rooms so video calls stutter. I've already moved the laptop around. It has been happening since yesterday. Honestly this is ridiculous and I'm close to leavin…
[6] kb article KB-0007: Slow broadband at peak evening hours Applies to: broadband. Typical symptoms: my broadband gets very slow every evening between evening and 11; internet speed drops massively at peak times in the evening. Cause: Network congestio…
[7] ticket TKT-000293: Complaint: Streaming buffers every night even though speeds are fine in the morning. The whole street seems affected. I've already disconnected other devices. Very frustrating, please sort it out. Cheers. Resolution: Ticket raise…
[8] kb article KB-0001: Fixing evening Wi-Fi dropouts caused by channel interference Applies to: router, broadband. Typical symptoms: my wifi keeps dropping out every evening around evening; the wireless connection cuts out repeatedly at night but the b…</t>
        </is>
      </c>
      <c r="D6" s="6" t="inlineStr">
        <is>
          <t>1. Run a wired speed test at peak and off-peak times to confirm the slowdown is network-side. [1][2][3][6][7]
2. Check the network capacity dashboard for congestion on the customer's cabinet. [1][2][3][6][7]
3. Raise a congestion ticket with the network team if utilisation is above threshold. [2][4][6][7]
4. Enable QoS on the router to prioritise video calls during peak hours. [2][4][6][7]
5. If the issue persists, escalate to second-line support with the results of each step. [6]</t>
        </is>
      </c>
      <c r="E6" s="6" t="inlineStr">
        <is>
          <t>- Run a wired speed test at peak and off-peak times to confirm the slowdown is network-side
- Check the network capacity dashboard for congestion on the customer's cabinet
- Raise a congestion ticket with the network team if utilisation is above threshold
- Enable QoS on the router to prioritise video calls during peak hours</t>
        </is>
      </c>
      <c r="F6" s="7" t="n">
        <v>5</v>
      </c>
      <c r="G6" s="7" t="n">
        <v>5</v>
      </c>
      <c r="H6" s="7" t="n">
        <v>5</v>
      </c>
      <c r="I6" s="7" t="inlineStr">
        <is>
          <t>Yes</t>
        </is>
      </c>
      <c r="J6" s="7" t="inlineStr">
        <is>
          <t>RESOLVE</t>
        </is>
      </c>
      <c r="K6" s="7" t="inlineStr">
        <is>
          <t>[AI] Matches the reference.</t>
        </is>
      </c>
    </row>
    <row r="7" ht="230" customHeight="1">
      <c r="A7" s="6" t="inlineStr">
        <is>
          <t>H05</t>
        </is>
      </c>
      <c r="B7" s="6" t="inlineStr">
        <is>
          <t>Hi there, I still can't use my old phone number with you even though I switched last week. The name on the accounts differs. Thank you, your support has been great before.</t>
        </is>
      </c>
      <c r="C7" s="6" t="inlineStr">
        <is>
          <t>[1] ticket TKT-001188: Complaint: My number transfer from my old provider is stuck. The old provider says it was released. I've already restarted the phone. I can't watch anything in the evenings. Thank you, your support has been great before. Resoluti…
[2] ticket TKT-001171: Complaint: The number port is pending for days. The old provider says it was released. This is completely unacceptable. Resolution: Ticket raised for number porting delayed or failed. Root cause: Port request rejected or delayed …
[3] ticket TKT-001193: Complaint: Good morning, My number transfer from my old provider is stuck. The old provider says it was released. What are my options? Regards. Resolution: Investigated number porting delayed or failed. Root cause: Port request r…
[4] ticket TKT-001182: Complaint: Hi there, My number transfer from my old provider is stuck. I've already checked the code. It has been happening since last month. My kids need it for school work. Let me know what to do. Regards. Resolution: Customer …
[5] ticket TKT-001196: Complaint: Hello, Porting my number has failed and I've got a temporary number. The old provider says it was released. I've already checked the code. It has been happening since yesterday. Thank you, your support has been great b…
[6] ticket TKT-001200: Complaint: Hello, My number transfer from my old provider is stuck. I work from home and keep missing client calls. Very frustrating, please sort it out. Cheers. Resolution: Ticket raised for number porting delayed or failed. Age…
[7] kb article KB-0024: Number porting delayed or failed Applies to: mobile_service. Typical symptoms: my number transfer from my old provider is stuck; porting my number has failed and I've got a temporary number. Cause: Port request rejected or delaye…
[8] kb article KB-0035: Changing the account holder Applies to: account_portal. Typical symptoms: I need to change the name on the account; how do I transfer the account to my partner. Cause: Change of account holder request requiring consent or bereave…</t>
        </is>
      </c>
      <c r="D7" s="6" t="inlineStr">
        <is>
          <t>1. Check the port request status and any rejection reason to identify if the mismatched account details are the cause of the delay. [1][2][3][4][5][6][7]
2. Verify the PAC or porting code is valid, unexpired, and matches the number. [1][2][3][4][5][6][7]
3. Verify the current account holder or the bereavement documentation to address the differing names on the accounts. [8]
4. Collect the new holder's identity and payment details to align the account names. [8]
5. Resubmit the port request with the corrected account details. [1][2][3][4][5][7]
6. Inform the customer that the port will complete within one working day of a valid request. [1][2][3][4][7]</t>
        </is>
      </c>
      <c r="E7" s="6" t="inlineStr">
        <is>
          <t>- Check the port request status and any rejection reason
- Verify the PAC or porting code is valid, unexpired and matches the number
- Resubmit the port request with corrected details
- Tell the customer the port completes within one working day of a valid request</t>
        </is>
      </c>
      <c r="F7" s="7" t="n">
        <v>4</v>
      </c>
      <c r="G7" s="7" t="n">
        <v>5</v>
      </c>
      <c r="H7" s="7" t="n">
        <v>3</v>
      </c>
      <c r="I7" s="7" t="inlineStr">
        <is>
          <t>No</t>
        </is>
      </c>
      <c r="J7" s="7" t="inlineStr">
        <is>
          <t>REVIEW</t>
        </is>
      </c>
      <c r="K7" s="7" t="inlineStr">
        <is>
          <t>[AI] All four reference steps present, but steps 3-4 start an account-ownership transfer (bereavement documents, new holder's payment details) that a porting name mismatch doesn't need.</t>
        </is>
      </c>
    </row>
    <row r="8" ht="230" customHeight="1">
      <c r="A8" s="6" t="inlineStr">
        <is>
          <t>H06</t>
        </is>
      </c>
      <c r="B8" s="6" t="inlineStr">
        <is>
          <t>Good morning, The network indicator never switches to the faster mode I'm paying for, downloads are poor. It has been happening for about a week. Very frustrating, please sort it out.</t>
        </is>
      </c>
      <c r="C8" s="6" t="inlineStr">
        <is>
          <t>[1] ticket TKT-001299: Complaint: Hi there, I'm paying for the faster plan now but still getting my old speed. It has been happening since Monday. Very frustrating, please sort it out. Regards. Resolution: Ticket raised for speed upgrade not applied. W…
[2] ticket TKT-001258: Complaint: Hello, I'm paying for the faster plan now but still getting my old speed. I've already restarted the laptop. It has been happening since Monday. Very frustrating, please sort it out. Cheers. Resolution: Ticket raised f…
[3] ticket TKT-001267: Complaint: Hello, I'm paying for the faster plan now but still getting my old speed. I've already restarted the laptop. My kids need it for school work. Honestly this is ridiculous and I'm close to leaving. Regards. Resolution: I…
[4] ticket TKT-001273: Complaint: Good morning, I'm paying for the faster plan now but still getting my old speed. I've already used a cable. Let me know what to do. Resolution: Ticket raised for speed upgrade not applied. Root cause: New speed profile…
[5] kb article KB-0026: Speed upgrade not applied Applies to: broadband. Typical symptoms: I upgraded my broadband package but the speed hasn't changed; I'm paying for the faster plan now but still getting my old speed. Cause: New speed profile not yet …
[6] ticket TKT-001276: Complaint: Hi, I'm paying for the faster plan now but still getting my old speed. The upgrade was three days ago. I've already ran speed tests. Very frustrating, please sort it out. Resolution: Investigated speed upgrade not appl…
[7] ticket TKT-001268: Complaint: I'm paying for the faster plan now but still getting my old speed. The upgrade was three days ago. I've already ran speed tests. It's really disruptive. Let me know what to do. Thanks. Resolution: Caller described spee…
[8] kb article KB-0008: Fibre speed stuck at 100 Mbps: checking cables and router ports Applies to: fiber, router. Typical symptoms: I pay for 500 Mbps fibre but only get about 90; my gigabit fiber never goes above 100 Mbps on speed tests. Cause: A bott…</t>
        </is>
      </c>
      <c r="D8" s="6" t="inlineStr">
        <is>
          <t>1. Confirm the upgrade order is complete and that the new speed profile has been applied to the line. [1][2][3][4][5][6][7]
2. Ask the customer to restart the router so the line re-syncs at the new speed profile. [1][2][3][4][5][6][7]
3. Run a line check to confirm the synced speed matches the new profile. [3][5][6][7]
4. If the profile is not applied, escalate the issue to provisioning. [3][5]</t>
        </is>
      </c>
      <c r="E8" s="6" t="inlineStr">
        <is>
          <t>- Set the phone's preferred network type to 5G/Auto in mobile network settings
- Install the latest carrier settings and phone software update
- Check that the SIM is 5G-enabled and replace older SIMs
- Confirm 5G is provisioned on the account and the handset model is supported</t>
        </is>
      </c>
      <c r="F8" s="7" t="n">
        <v>1</v>
      </c>
      <c r="G8" s="7" t="n">
        <v>1</v>
      </c>
      <c r="H8" s="7" t="n">
        <v>1</v>
      </c>
      <c r="I8" s="7" t="inlineStr">
        <is>
          <t>No</t>
        </is>
      </c>
      <c r="J8" s="7" t="inlineStr">
        <is>
          <t>ESCALATE</t>
        </is>
      </c>
      <c r="K8" s="7" t="inlineStr">
        <is>
          <t>[AI] Wrong scenario: broadband speed-upgrade steps (router restart, line check) for a phone that never reaches 5G; no 5G source was retrieved.</t>
        </is>
      </c>
    </row>
    <row r="9" ht="230" customHeight="1">
      <c r="A9" s="6" t="inlineStr">
        <is>
          <t>H07</t>
        </is>
      </c>
      <c r="B9" s="6" t="inlineStr">
        <is>
          <t>Out of nowhere my phone stopped seeing the little chip and I have no network. Another SIM works in my phone. Let me know what to do.</t>
        </is>
      </c>
      <c r="C9" s="6" t="inlineStr">
        <is>
          <t>[1] ticket TKT-000943: Complaint: Hello, The SIM is not detected and I can't make calls. It has been happening since Monday. My kids need it for school work. Honestly this is ridiculous and I'm close to leaving. Regards. Resolution: Caller described ph…
[2] ticket TKT-000936: Complaint: The SIM is not detected and I can't make calls. The SIM is several years old. Very frustrating, please sort it out. Regards. Resolution: Caller described phone shows 'no sim' or 'invalid sim'. Advised customer to: Powe…
[3] ticket TKT-000952: Complaint: Hello, The SIM is not detected and I can't make calls. I dropped the phone recently. I've already cleaned the SIM. It has been happening for three days. My kids need it for school work. Thank you, your support has been…
[4] ticket TKT-000947: Complaint: Hi, My mobile suddenly lost service and shows SIM not recognised. I dropped the phone recently. I've already restarted the phone. It has been happening for three days. I work from home and keep missing client calls. Th…
[5] ticket TKT-000950: Complaint: Good morning, The SIM is not detected and I can't make calls. The SIM is several years old. I've already restarted the phone. Very frustrating, please sort it out. Thanks. Resolution: Ticket raised for phone shows 'no …
[6] ticket TKT-000949: Complaint: Hey, The SIM is not detected and I can't make calls. I dropped the phone recently. It has been happening for three days. Honestly this is ridiculous and I'm close to leaving. Cheers. Resolution: Ticket raised for phone…
[7] kb article KB-0020: Phone shows 'No SIM' or 'Invalid SIM' Applies to: mobile_service. Typical symptoms: my phone says no SIM card inserted; the SIM is not detected and I can't make calls. Cause: Damaged or worn SIM card, or a SIM tray/reader issue. …
[8] kb article KB-0023: New SIM not activating Applies to: mobile_service. Typical symptoms: my new SIM card still isn't active after two days; I got a new SIM but it says emergency calls only. Cause: Activation pending identity verification (KYC) or th…</t>
        </is>
      </c>
      <c r="D9" s="6" t="inlineStr">
        <is>
          <t>1. Power off the phone, reseat the SIM in the tray, and restart the device. [1][2][3][4][5][6][7]
2. Test the SIM in another phone to isolate whether the issue is with the SIM or the handset. [1][2][3][4][5][6][7]
3. If the SIM fails in other phones, issue a replacement SIM and keep the same number. [5][6][7]
4. If the SIM works in another phone, refer the handset for repair. [6][7]
5. If the issue is not resolved by the above steps, escalate to second-line support with the results of each step. [7]</t>
        </is>
      </c>
      <c r="E9" s="6" t="inlineStr">
        <is>
          <t>- Power off the phone, reseat the SIM in the tray and restart
- Test the SIM in another phone to isolate SIM versus handset
- If the SIM fails in other phones, issue a replacement SIM and keep the same number
- If the SIM works elsewhere, refer the handset for repair</t>
        </is>
      </c>
      <c r="F9" s="7" t="n">
        <v>5</v>
      </c>
      <c r="G9" s="7" t="n">
        <v>5</v>
      </c>
      <c r="H9" s="7" t="n">
        <v>5</v>
      </c>
      <c r="I9" s="7" t="inlineStr">
        <is>
          <t>Yes</t>
        </is>
      </c>
      <c r="J9" s="7" t="inlineStr">
        <is>
          <t>RESOLVE</t>
        </is>
      </c>
      <c r="K9" s="7" t="inlineStr">
        <is>
          <t>[AI] All four reference steps plus escalation.</t>
        </is>
      </c>
    </row>
    <row r="10" ht="230" customHeight="1">
      <c r="A10" s="6" t="inlineStr">
        <is>
          <t>H08</t>
        </is>
      </c>
      <c r="B10" s="6" t="inlineStr">
        <is>
          <t>Hello, My CCTV remote viewing breaks because my public address keeps changing. I host a website. I've already used dynamic DNS. It has been happening for two weeks. This is completely unacceptable.</t>
        </is>
      </c>
      <c r="C10" s="6" t="inlineStr">
        <is>
          <t>[1] ticket TKT-001611: Complaint: My IP address keeps changing and I need it to stay the same. I use a VPN. It has been happening for two weeks. I can't watch anything in the evenings. Please advise. Regards. Resolution: Ticket raised for requesting a …
[2] ticket TKT-001622: Complaint: My IP address keeps changing and I need it to stay the same. I run a small business from home. I've already used dynamic DNS. It has been happening since yesterday. Please advise. Resolution: Ticket raised for requesti…
[3] ticket TKT-001580: Complaint: Good morning, My IP address keeps changing and I need it to stay the same. I've already used dynamic DNS. It has been happening for about a week. I'm really fed up with this. Resolution: Investigated requesting a stati…
[4] ticket TKT-001594: Complaint: Hi, My IP address keeps changing and I need it to stay the same. It has been happening for two weeks. I can't watch anything in the evenings. This is completely unacceptable. Resolution: Customer reported requesting a …
[5] ticket TKT-001620: Complaint: To whom it may concern, My IP address keeps changing and I need it to stay the same. This is completely unacceptable. Thanks. Resolution: Customer reported requesting a static ip address. Root cause: Dynamic public IP …
[6] ticket TKT-001610: Complaint: Hi, My IP address keeps changing and I need it to stay the same. I run a small business from home. I've already looked on the website. It has been happening for three days. I'm really fed up with this. Resolution: Call…
[7] kb article KB-0032: Requesting a static IP address Applies to: broadband. Typical symptoms: I need a static IP address for my home server; can I get a fixed IP on my broadband. Cause: Dynamic public IP allocation; static IP is an add-on. Resolution …
[8] kb article KB-0006: Connected but no websites load (DNS errors) Applies to: broadband. Typical symptoms: my internet shows connected but websites won't load; I can't browse any sites although the router says it is online. Cause: DNS resolution failu…</t>
        </is>
      </c>
      <c r="D10" s="6" t="inlineStr">
        <is>
          <t>1. Explain the difference between dynamic and static IP addresses to the customer. [2][3][4][5][6][7]
2. Add the static IP add-on to the customer's account. [2][3][4][5][6][7]
3. Ask the customer to restart the router to receive the new static IP address. [1][3][4][5][7]
4. Suggest dynamic DNS as a free alternative, noting that the customer has already implemented it. [1][5][7]</t>
        </is>
      </c>
      <c r="E10" s="6" t="inlineStr">
        <is>
          <t>- Explain the difference between dynamic and static IP addresses
- Add the static IP add-on to the account
- Ask the customer to restart the router to receive the static IP
- Suggest dynamic DNS as a free alternative</t>
        </is>
      </c>
      <c r="F10" s="7" t="n">
        <v>5</v>
      </c>
      <c r="G10" s="7" t="n">
        <v>5</v>
      </c>
      <c r="H10" s="7" t="n">
        <v>5</v>
      </c>
      <c r="I10" s="7" t="inlineStr">
        <is>
          <t>Yes</t>
        </is>
      </c>
      <c r="J10" s="7" t="inlineStr">
        <is>
          <t>RESOLVE</t>
        </is>
      </c>
      <c r="K10" s="7" t="inlineStr">
        <is>
          <t>[AI] Matches the reference; step 4 acknowledges that the customer already uses dynamic DNS.</t>
        </is>
      </c>
    </row>
    <row r="11" ht="230" customHeight="1">
      <c r="A11" s="6" t="inlineStr">
        <is>
          <t>H09</t>
        </is>
      </c>
      <c r="B11" s="6" t="inlineStr">
        <is>
          <t>Everyone around me is without a connection, it's clearly not just my house. The router shows no signal. I'm really fed up with this.</t>
        </is>
      </c>
      <c r="C11" s="6" t="inlineStr">
        <is>
          <t>[1] ticket TKT-001884: Complaint: Nobody on our street has broadband right now. It started around 9am. I've already restarted the router. I'm really fed up with this. Resolution: Customer reported area-wide broadband outage. Walked customer through: Ch…
[2] ticket TKT-001857: Complaint: Nobody on our street has broadband right now. It has been happening since Monday. Honestly this is ridiculous and I'm close to leaving. Regards. Resolution: Customer reported area-wide broadband outage. Link the custom…
[3] ticket TKT-001825: Complaint: Nobody on our street has broadband right now. It started around 9am. I've already restarted the router. It has been happening since yesterday. Honestly this is ridiculous and I'm close to leaving. Resolution: Investiga…
[4] ticket TKT-001805: Complaint: Hi there, Nobody on our street has broadband right now. I've already checked with neighbours. This is completely unacceptable. Cheers. Resolution: Customer reported area-wide broadband outage. Advised customer to: Chec…
[5] ticket TKT-001814: Complaint: Hi there, The whole neighbourhood has lost internet since this morning. It has been happening for about a week. Let me know what to do. Resolution: Customer did not respond to follow-up. Closed without confirmed resolu…
[6] ticket TKT-001875: Complaint: Hey, The whole neighbourhood has lost internet since this morning. It started around 9am. I can't watch anything in the evenings. I'm really fed up with this. Regards. Resolution: Investigated area-wide broadband outag…
[7] kb article KB-0021: Router ethernet port not working Applies to: router. Typical symptoms: one of the ethernet ports on my router has stopped working; my PC gets no connection when plugged into the router's LAN port. Cause: Faulty LAN port, damaged …
[8] kb article KB-0011: Improving Wi-Fi coverage in distant rooms Applies to: router. Typical symptoms: wifi is really slow upstairs but fine next to the router; speeds in the back bedroom are terrible on wifi. Cause: Insufficient Wi-Fi coverage due to …</t>
        </is>
      </c>
      <c r="D11" s="6" t="inlineStr">
        <is>
          <t>1. Check the outage map and incident system for the customer's area to confirm the area-wide outage. [1][3][4]
2. Link the customer to the existing incident and share the latest estimated fix time. [1][2][3][4][6]
3. Offer a mobile data boost or hotspot to the customer during the outage. [2][3][6]
4. Apply automatic outage compensation once service is restored. [2][6]
5. Schedule a follow-up call the next day to confirm the issue is fixed. [4][6]</t>
        </is>
      </c>
      <c r="E11" s="6" t="inlineStr">
        <is>
          <t>- Check the outage map and incident system for the customer's area
- Link the customer to the existing incident and share the latest estimated fix time
- Offer a mobile data boost or hotspot during the outage
- Apply automatic outage compensation once service is restored</t>
        </is>
      </c>
      <c r="F11" s="7" t="n">
        <v>5</v>
      </c>
      <c r="G11" s="7" t="n">
        <v>5</v>
      </c>
      <c r="H11" s="7" t="n">
        <v>5</v>
      </c>
      <c r="I11" s="7" t="inlineStr">
        <is>
          <t>Yes</t>
        </is>
      </c>
      <c r="J11" s="7" t="inlineStr">
        <is>
          <t>RESOLVE</t>
        </is>
      </c>
      <c r="K11" s="7" t="inlineStr">
        <is>
          <t>[AI] All four reference steps, taken from the outage tickets (the outage KB was not retrieved); the follow-up call is a harmless extra.</t>
        </is>
      </c>
    </row>
    <row r="12" ht="230" customHeight="1">
      <c r="A12" s="6" t="inlineStr">
        <is>
          <t>H10</t>
        </is>
      </c>
      <c r="B12" s="6" t="inlineStr">
        <is>
          <t>My late father's services need to be switched over to me. Honestly this is ridiculous and I'm close to leaving. Cheers.</t>
        </is>
      </c>
      <c r="C12" s="6" t="inlineStr">
        <is>
          <t>[1] ticket TKT-001730: Complaint: Hi there, The account holder has passed away and I need to take over. I have the death certificate. It has been happening since yesterday. It's really disruptive. Let me know what to do. Thanks. Resolution: Ticket rais…
[2] ticket TKT-001743: Complaint: Good morning, How do I transfer the account to my partner. It has been happening for three days. Honestly this is ridiculous and I'm close to leaving. Cheers. Resolution: Customer reported changing the account holder. …
[3] ticket TKT-001742: Complaint: Hello, The account holder has passed away and I need to take over. I have the death certificate. I've already looked on the website. I can't watch anything in the evenings. I'm really fed up with this. Regards. Resolut…
[4] ticket TKT-001716: Complaint: Hey, How do I transfer the account to my partner. I have the death certificate. I've already looked on the website. It has been happening for two weeks. It's really disruptive. This is completely unacceptable. Resoluti…
[5] ticket TKT-001732: Complaint: Good morning, I want to move the account into my name. I have the death certificate. I've already looked on the website. It has been happening since yesterday. My kids need it for school work. What are my options? Than…
[6] ticket TKT-001726: Complaint: Hi, I want to move the account into my name. My kids need it for school work. I'm really fed up with this. Thanks. Resolution: Ticket raised for changing the account holder. Verify the current account holder or the ber…
[7] kb article KB-0015: Charged after cancelling a service Applies to: billing_system. Typical symptoms: I cancelled my service last month but you're still billing me; I'm still being charged even though I closed my account. Cause: The cancellation was …
[8] kb article KB-0016: Early termination fees when moving home Applies to: billing_system, broadband. Typical symptoms: I was charged an early termination fee because I moved house; you billed me a cancellation fee when I moved to an area you don't cov…</t>
        </is>
      </c>
      <c r="D12" s="6" t="inlineStr">
        <is>
          <t>1. Verify the current account holder or the bereavement documentation [1][2][3][4][5][6]
2. Collect the new holder's identity and payment details [1][2][3][4][5][6]
3. Complete the transfer of ownership without interrupting service [1][2][3][5]</t>
        </is>
      </c>
      <c r="E12" s="6" t="inlineStr">
        <is>
          <t>- Verify the current account holder or the bereavement documentation
- Collect the new holder's identity and payment details
- Complete the transfer of ownership without interrupting service</t>
        </is>
      </c>
      <c r="F12" s="7" t="n">
        <v>5</v>
      </c>
      <c r="G12" s="7" t="n">
        <v>5</v>
      </c>
      <c r="H12" s="7" t="n">
        <v>5</v>
      </c>
      <c r="I12" s="7" t="inlineStr">
        <is>
          <t>Yes</t>
        </is>
      </c>
      <c r="J12" s="7" t="inlineStr">
        <is>
          <t>RESOLVE</t>
        </is>
      </c>
      <c r="K12" s="7" t="inlineStr">
        <is>
          <t>[AI] Matches the reference.</t>
        </is>
      </c>
    </row>
    <row r="13" ht="230" customHeight="1">
      <c r="A13" s="6" t="inlineStr">
        <is>
          <t>H11</t>
        </is>
      </c>
      <c r="B13" s="6" t="inlineStr">
        <is>
          <t>The little white box where the glass cable comes in is glowing red and we're offline. The router itself looks normal. I've already power cycled the ONT. It has been happening since last month. It's really disruptive. Honestly this is ridiculous and I'm close to leaving. Regards.</t>
        </is>
      </c>
      <c r="C13" s="6" t="inlineStr">
        <is>
          <t>[1] ticket TKT-000122: Complaint: Hey, No internet at all, the fiber box on the wall shows a red light. The cable runs behind a cupboard. I've already power cycled the ONT. It has been happening since yesterday. Thanks in advance, you've always been he…
[2] ticket TKT-000096: Complaint: Hey, No internet at all, the fiber box on the wall shows a red light. I've already rebooted the router. It has been happening since yesterday. I can't watch anything in the evenings. Can you look into it? Cheers. Resol…
[3] ticket TKT-000117: Complaint: Hi, No internet at all, the fiber box on the wall shows a red light. We moved some furniture yesterday. I've already power cycled the ONT. It has been happening since yesterday. My kids need it for school work. I'm rea…
[4] ticket TKT-000104: Complaint: Hello, No internet at all, the fiber box on the wall shows a red light. The cable runs behind a cupboard. I've already power cycled the ONT. I can't watch anything in the evenings. What are my options? Regards. Resolut…
[5] ticket TKT-000113: Complaint: No internet at all, the fiber box on the wall shows a red light. We moved some furniture yesterday. It has been happening since last month. Honestly this is ridiculous and I'm close to leaving. Regards. Resolution: Tic…
[6] ticket TKT-000102: Complaint: Hi there, No internet at all, the fiber box on the wall shows a red light. I've already rebooted the router. My kids need it for school work. Thank you, your support has been great before. Regards. Resolution: Investig…
[7] kb article KB-0003: Red LOS light on the fibre ONT Applies to: fiber. Typical symptoms: my fibre is completely down and the ONT has a red LOS light; no internet at all, the fiber box on the wall shows a red light. Cause: Loss of optical signal, typi…
[8] kb article KB-0021: Router ethernet port not working Applies to: router. Typical symptoms: one of the ethernet ports on my router has stopped working; my PC gets no connection when plugged into the router's LAN port. Cause: Faulty LAN port, damaged …</t>
        </is>
      </c>
      <c r="D13" s="6" t="inlineStr">
        <is>
          <t>1. Check the thin fibre cable into the ONT for sharp bends, kinks, or pinching and straighten it [2][3][4][5][6][7].
2. Make sure the green fibre connector is fully clicked into the ONT port without touching the fibre end [2][3][4][5][6][7].
3. Check the outage map for a fibre fault in the area [2][3][4][5][6][7].
4. If the LOS light stays red, raise a fibre fault and dispatch a field engineer [3][5][6][7].
5. If the issue is not resolved by the above steps, escalate to second-line support with the results of each step [7].</t>
        </is>
      </c>
      <c r="E13" s="6" t="inlineStr">
        <is>
          <t>- Check the thin fibre cable into the ONT for sharp bends, kinks or pinching and straighten it
- Make sure the green fibre connector is fully clicked into the ONT port without touching the fibre end
- Check the outage map for a fibre fault in the area
- If LOS stays red, raise a fibre fault and dispatch a field engineer</t>
        </is>
      </c>
      <c r="F13" s="7" t="n">
        <v>5</v>
      </c>
      <c r="G13" s="7" t="n">
        <v>5</v>
      </c>
      <c r="H13" s="7" t="n">
        <v>5</v>
      </c>
      <c r="I13" s="7" t="inlineStr">
        <is>
          <t>Yes</t>
        </is>
      </c>
      <c r="J13" s="7" t="inlineStr">
        <is>
          <t>RESOLVE</t>
        </is>
      </c>
      <c r="K13" s="7" t="inlineStr">
        <is>
          <t>[AI] All four reference steps plus escalation.</t>
        </is>
      </c>
    </row>
    <row r="14" ht="230" customHeight="1">
      <c r="A14" s="6" t="inlineStr">
        <is>
          <t>H12</t>
        </is>
      </c>
      <c r="B14" s="6" t="inlineStr">
        <is>
          <t>Hi there, The security code you text me for signing in simply never shows up. I get other texts fine. I've already restarted my phone. Please advise. Cheers.</t>
        </is>
      </c>
      <c r="C14" s="6" t="inlineStr">
        <is>
          <t>[1] ticket TKT-001688: Complaint: Good morning, The login code text isn't being delivered to my phone. I've already restarted my phone. It has been happening for two weeks. I can't watch anything in the evenings. This is completely unacceptable. Resolu…
[2] ticket TKT-001698: Complaint: The login code text isn't being delivered to my phone. I've already restarted my phone. It's really disruptive. Very frustrating, please sort it out. Resolution: Ticket raised for one-time passcode not received. Root c…
[3] ticket TKT-001684: Complaint: Hi, The login code text isn't being delivered to my phone. I've already requested the code several times. It has been happening since yesterday. I can't watch anything in the evenings. I'm really fed up with this. Chee…
[4] ticket TKT-001666: Complaint: The login code text isn't being delivered to my phone. I'm abroad. I've already requested the code several times. Thank you, your support has been great before. Regards. Resolution: Customer reported one-time passcode …
[5] ticket TKT-001656: Complaint: The login code text isn't being delivered to my phone. I've already restarted my phone. It has been happening for about a week. Honestly this is ridiculous and I'm close to leaving. Resolution: Caller described one-tim…
[6] ticket TKT-001709: Complaint: The login code text isn't being delivered to my phone. I'm abroad. I've already requested the code several times. This is completely unacceptable. Cheers. Resolution: Investigated one-time passcode not received. Root c…
[7] kb article KB-0034: One-time passcode not received Applies to: account_portal. Typical symptoms: I'm not receiving the one-time passcode to log in; the OTP verification code never arrives by SMS. Cause: Outdated mobile number on the account, SMS blo…
[8] kb article KB-0013: Unrecognised third-party and premium SMS charges Applies to: billing_system, mobile_service. Typical symptoms: there are charges for premium text services I never signed up for; my phone bill has third-party subscription charges …</t>
        </is>
      </c>
      <c r="D14" s="6" t="inlineStr">
        <is>
          <t>1. Check the mobile number registered for two-factor authentication to ensure it is current and correct [1][2][3][4][5][6][7].
2. If the registered mobile number is outdated, update the number after completing identity verification [1][2][3][4][5][6][7].
3. Check for SMS blocking or spam filtering on the customer's handset that may be preventing the delivery of the one-time passcode [7].
4. If the issue persists, offer email or authenticator-app verification as an alternative method for logging in [7].
5. If the issue is still unresolved after the above steps, escalate the case to second-line support with the results of each step [7].</t>
        </is>
      </c>
      <c r="E14" s="6" t="inlineStr">
        <is>
          <t>- Check the mobile number registered for two-factor authentication
- Update the number after identity verification if it is outdated
- Offer email or authenticator-app verification as an alternative
- Check for SMS blocking or spam filtering on the handset</t>
        </is>
      </c>
      <c r="F14" s="7" t="n">
        <v>5</v>
      </c>
      <c r="G14" s="7" t="n">
        <v>5</v>
      </c>
      <c r="H14" s="7" t="n">
        <v>5</v>
      </c>
      <c r="I14" s="7" t="inlineStr">
        <is>
          <t>Yes</t>
        </is>
      </c>
      <c r="J14" s="7" t="inlineStr">
        <is>
          <t>RESOLVE</t>
        </is>
      </c>
      <c r="K14" s="7" t="inlineStr">
        <is>
          <t>[AI] All four reference steps plus escalation.</t>
        </is>
      </c>
    </row>
    <row r="15" ht="230" customHeight="1">
      <c r="A15" s="6" t="inlineStr">
        <is>
          <t>H13</t>
        </is>
      </c>
      <c r="B15" s="6" t="inlineStr">
        <is>
          <t>Hello, I never get any recorded messages when I miss calls. Visual voicemail shows an error. I've already called the voicemail number. It has been happening since Monday. Very frustrating, please sort it out.</t>
        </is>
      </c>
      <c r="C15" s="6" t="inlineStr">
        <is>
          <t>[1] ticket TKT-001546: Complaint: Hello, My voicemail isn't working and callers can't leave messages. I've already restarted my phone. It has been happening for two weeks. It's really disruptive. Appreciate your help as always! Cheers. Resolution: Inve…
[2] ticket TKT-001541: Complaint: Hey, My voicemail isn't working and callers can't leave messages. I've already called the voicemail number. It has been happening for three days. Very frustrating, please sort it out. Regards. Resolution: Customer repo…
[3] ticket TKT-001560: Complaint: My voicemail isn't working and callers can't leave messages. I'm on a new phone. It has been happening since Monday. Honestly this is ridiculous and I'm close to leaving. Regards. Resolution: Ticket raised for setting …
[4] ticket TKT-001513: Complaint: To whom it may concern, My voicemail isn't working and callers can't leave messages. I'm on a new phone. I've already called the voicemail number. It has been happening for three days. Let me know what to do. Cheers. R…
[5] ticket TKT-001542: Complaint: Hi, My voicemail isn't working and callers can't leave messages. I'm on a new phone. Very frustrating, please sort it out. Cheers. Resolution: Ticket raised for setting up voicemail. Activate voicemail on the line from…
[6] ticket TKT-001540: Complaint: My voicemail isn't working and callers can't leave messages. I've already called the voicemail number. It has been happening for three days. I run my business from home and this is costing me money. Thank you, your sup…
[7] kb article KB-0031: Setting up voicemail Applies to: mobile_service. Typical symptoms: I can't set up my voicemail; my voicemail isn't working and callers can't leave messages. Cause: Voicemail not activated, call diversion not set, or PIN unknown. …
[8] kb article KB-0020: Phone shows 'No SIM' or 'Invalid SIM' Applies to: mobile_service. Typical symptoms: my phone says no SIM card inserted; the SIM is not detected and I can't make calls. Cause: Damaged or worn SIM card, or a SIM tray/reader issue. …</t>
        </is>
      </c>
      <c r="D15" s="6" t="inlineStr">
        <is>
          <t>1. Activate voicemail on the line from the account system. [1][2][3][4][5][6][7]
2. Set call diversion on no answer to the voicemail number. [1][2][3][4][5][6][7]
3. Reset the voicemail PIN and send it by SMS. [1][2][4][5][6][7]
4. If the issue persists after completing the above steps, escalate to second-line support with the results of each step. [7]</t>
        </is>
      </c>
      <c r="E15" s="6" t="inlineStr">
        <is>
          <t>- Activate voicemail on the line from the account system
- Set call diversion on no answer to the voicemail number
- Reset the voicemail PIN and send it by SMS</t>
        </is>
      </c>
      <c r="F15" s="7" t="n">
        <v>5</v>
      </c>
      <c r="G15" s="7" t="n">
        <v>5</v>
      </c>
      <c r="H15" s="7" t="n">
        <v>5</v>
      </c>
      <c r="I15" s="7" t="inlineStr">
        <is>
          <t>Yes</t>
        </is>
      </c>
      <c r="J15" s="7" t="inlineStr">
        <is>
          <t>RESOLVE</t>
        </is>
      </c>
      <c r="K15" s="7" t="inlineStr">
        <is>
          <t>[AI] All three reference steps plus escalation.</t>
        </is>
      </c>
    </row>
    <row r="16" ht="230" customHeight="1">
      <c r="A16" s="6" t="inlineStr">
        <is>
          <t>H14</t>
        </is>
      </c>
      <c r="B16" s="6" t="inlineStr">
        <is>
          <t>Party chat fails and the game shows a restrictive network warning. I host game servers. I've already restarted the console. It has been happening for about a week. Honestly this is ridiculous and I'm close to leaving.</t>
        </is>
      </c>
      <c r="C16" s="6" t="inlineStr">
        <is>
          <t>[1] ticket TKT-001492: Complaint: My console says NAT type strict and I can't join online games. UPnP may be off. I've already restarted the console. My kids need it for school work. Honestly this is ridiculous and I'm close to leaving. Regards. Resolu…
[2] ticket TKT-001470: Complaint: Hey, My console says NAT type strict and I can't join online games. UPnP may be off. It has been happening for three days. I work from home and keep missing client calls. I'm really fed up with this. Resolution: Custom…
[3] ticket TKT-001501: Complaint: Good morning, My console says NAT type strict and I can't join online games. It has been happening for two weeks. I can't watch anything in the evenings. Very frustrating, please sort it out. Cheers. Resolution: Custom…
[4] ticket TKT-001489: Complaint: My console says NAT type strict and I can't join online games. Honestly this is ridiculous and I'm close to leaving. Resolution: Customer reported strict nat and port forwarding for gaming. Enable UPnP in the router se…
[5] ticket TKT-001476: Complaint: Hi, My console says NAT type strict and I can't join online games. I've already restarted the router. Very frustrating, please sort it out. Resolution: Investigated strict nat and port forwarding for gaming. Enable UPn…
[6] ticket TKT-001445: Complaint: Hi there, I need to open ports on my router for gaming. Honestly this is ridiculous and I'm close to leaving. Regards. Resolution: Customer reported strict nat and port forwarding for gaming. Root cause: Router NAT res…
[7] kb article KB-0030: Strict NAT and port forwarding for gaming Applies to: router. Typical symptoms: my console says NAT type strict and I can't join online games; I need to open ports on my router for gaming. Cause: Router NAT restricts inbound conn…
[8] kb article KB-0040: Overnight outages from planned maintenance Applies to: broadband. Typical symptoms: my internet goes off in the middle of the night for a few hours; the connection was down between midnight and 4am. Cause: Planned network mainten…</t>
        </is>
      </c>
      <c r="D16" s="6" t="inlineStr">
        <is>
          <t>1. Enable UPnP in the router settings. [1][4][5][6][7]
2. Give the console a reserved IP address in the router DHCP settings. [1][4][5][6][7]
3. Forward the game's required ports to the console's reserved IP. [1][5][7]
4. Restart the console and re-test the NAT type. [5][7]
5. If the issue persists, escalate to second-line support with the results of each step. [7]</t>
        </is>
      </c>
      <c r="E16" s="6" t="inlineStr">
        <is>
          <t>- Enable UPnP in the router settings
- Give the console a reserved IP address in the router DHCP settings
- Forward the game's required ports to the console's reserved IP
- Restart the console and re-test the NAT type</t>
        </is>
      </c>
      <c r="F16" s="7" t="n">
        <v>5</v>
      </c>
      <c r="G16" s="7" t="n">
        <v>5</v>
      </c>
      <c r="H16" s="7" t="n">
        <v>5</v>
      </c>
      <c r="I16" s="7" t="inlineStr">
        <is>
          <t>Yes</t>
        </is>
      </c>
      <c r="J16" s="7" t="inlineStr">
        <is>
          <t>RESOLVE</t>
        </is>
      </c>
      <c r="K16" s="7" t="inlineStr">
        <is>
          <t>[AI] Matches the reference.</t>
        </is>
      </c>
    </row>
    <row r="17" ht="230" customHeight="1">
      <c r="A17" s="6" t="inlineStr">
        <is>
          <t>H15</t>
        </is>
      </c>
      <c r="B17" s="6" t="inlineStr">
        <is>
          <t>Hey, Come nightfall my downloads slow to a trickle across every device in the house. It has been like this for weeks. I've already ran speed tests. It has been happening for two weeks. I work from home and keep missing client calls. Very frustrating, please sort it out. Cheers.</t>
        </is>
      </c>
      <c r="C17" s="6" t="inlineStr">
        <is>
          <t>[1] ticket TKT-000292: Complaint: Streaming buffers every night even though speeds are fine in the morning. Wired speed tests are slow too. I work from home and keep missing client calls. I'm really fed up with this. Resolution: Caller described slow b…
[2] ticket TKT-000289: Complaint: Hello, Speed tests show a fraction of my plan speed in the evenings. The whole street seems affected. I've already disconnected other devices. I work from home and keep missing client calls. This is completely unaccept…
[3] ticket TKT-000286: Complaint: Hey, My broadband gets very slow every evening between half past seven and 11. Wired speed tests are slow too. I work from home and keep missing client calls. Let me know what to do. Regards. Resolution: Customer repor…
[4] ticket TKT-000287: Complaint: Speed tests show a fraction of my plan speed in the evenings. I've already disconnected other devices. It has been happening for two weeks. We take card payments through this connection and the shop can't trade. Can yo…
[5] ticket TKT-000299: Complaint: Hello, My broadband gets very slow every evening between 9pm and 11. It has been happening since yesterday. I work from home and keep missing client calls. What are my options? Resolution: Ticket raised for slow broadb…
[6] ticket TKT-000288: Complaint: Hey, My broadband gets very slow every evening between 9pm and 11. The whole street seems affected. I've already ran speed tests. I work from home and keep missing client calls. Thank you, your support has been great b…
[7] kb article KB-0007: Slow broadband at peak evening hours Applies to: broadband. Typical symptoms: my broadband gets very slow every evening between evening and 11; internet speed drops massively at peak times in the evening. Cause: Network congestio…
[8] kb article KB-0010: Mobile data slowed after reaching the usage allowance Applies to: mobile_service. Typical symptoms: my mobile data became extremely slow halfway through the month; data speed dropped to almost nothing after I used a lot this mont…</t>
        </is>
      </c>
      <c r="D17" s="6" t="inlineStr">
        <is>
          <t>1. Run a wired speed test at peak and off-peak times to confirm the slowdown is network-side. [1][3][4][5][6][7]
2. Check the network capacity dashboard for congestion on the customer's cabinet. [1][3][4][5][6][7]
3. Raise a congestion ticket with the network team if utilisation is above threshold. [2][3][4][5][6][7]
4. Enable QoS on the router to prioritise video calls during peak hours. [2][3][4][6][7]
5. If the issue persists after these steps, escalate to second-line support with the results of each step. [7]</t>
        </is>
      </c>
      <c r="E17" s="6" t="inlineStr">
        <is>
          <t>- Run a wired speed test at peak and off-peak times to confirm the slowdown is network-side
- Check the network capacity dashboard for congestion on the customer's cabinet
- Raise a congestion ticket with the network team if utilisation is above threshold
- Enable QoS on the router to prioritise video calls during peak hours</t>
        </is>
      </c>
      <c r="F17" s="7" t="n">
        <v>5</v>
      </c>
      <c r="G17" s="7" t="n">
        <v>5</v>
      </c>
      <c r="H17" s="7" t="n">
        <v>5</v>
      </c>
      <c r="I17" s="7" t="inlineStr">
        <is>
          <t>Yes</t>
        </is>
      </c>
      <c r="J17" s="7" t="inlineStr">
        <is>
          <t>RESOLVE</t>
        </is>
      </c>
      <c r="K17" s="7" t="inlineStr">
        <is>
          <t>[AI] Matches the reference.</t>
        </is>
      </c>
    </row>
    <row r="18" ht="230" customHeight="1">
      <c r="A18" s="6" t="inlineStr">
        <is>
          <t>H16</t>
        </is>
      </c>
      <c r="B18" s="6" t="inlineStr">
        <is>
          <t>Each time someone calls the house the web stops working for a minute. I've already swapped the phone cable. I'm really fed up with this. Thanks.</t>
        </is>
      </c>
      <c r="C18" s="6" t="inlineStr">
        <is>
          <t>[1] kb article KB-0002: Broadband drops when the phone rings: line noise and microfilters Applies to: broadband. Typical symptoms: my broadband disconnects whenever the home phone rings; there is crackling on the landline and the internet drops at the s…
[2] ticket TKT-000071: Complaint: Hi, My broadband disconnects whenever the home phone rings. I've already swapped the phone cable. It has been happening since last month. I can't watch anything in the evenings. Please advise. Regards. Resolution: Tick…
[3] ticket TKT-000056: Complaint: My broadband disconnects whenever the home phone rings. Can you look into it? Thanks. Resolution: Customer reported broadband drops when the phone rings: line noise and microfilters. Connect the modem to the master soc…
[4] ticket TKT-000055: Complaint: My broadband disconnects whenever the home phone rings. It started after some building work. Let me know what to do. Thanks. Resolution: Caller described broadband drops when the phone rings: line noise and microfilter…
[5] ticket TKT-000079: Complaint: Hi, The DSL light on my modem keeps flashing and the connection resyncs many times a day. I've already unplugged the cordless phone. Please advise. Cheers. Resolution: Investigated broadband drops when the phone rings:…
[6] ticket TKT-000074: Complaint: To whom it may concern, The DSL light on my modem keeps flashing and the connection resyncs many times a day. The house has several phone sockets. I've already swapped the phone cable. It has been happening for about a…
[7] ticket TKT-000063: Complaint: Hey, My broadband disconnects whenever the home phone rings. The house has several phone sockets. I've already unplugged the cordless phone. Very frustrating, please sort it out. Cheers. Resolution: Ticket raised for b…
[8] kb article KB-0004: Poor indoor mobile coverage and Wi-Fi Calling Applies to: mobile_service. Typical symptoms: I have no mobile signal inside my house; calls drop as soon as I walk indoors and the phone shows one bar. Cause: Weak indoor coverage du…</t>
        </is>
      </c>
      <c r="D18" s="6" t="inlineStr">
        <is>
          <t>1. Fit a microfilter on every phone socket that has a phone or device plugged in. [1][2][4][5][6][7]
2. Connect the modem to the master socket using the test socket to bypass internal wiring. [1][2][3][4][5][6][7]
3. Run a remote line test from the support system to check for noise and line faults. [1][3][4][6]
4. If the line test fails, book an engineer visit to repair the line. [1][3][4][6]
5. If the issue persists after these steps, escalate to second-line support with the results of each step. [1]</t>
        </is>
      </c>
      <c r="E18" s="6" t="inlineStr">
        <is>
          <t>- Fit a microfilter on every phone socket that has a phone or device plugged in
- Connect the modem to the master socket using the test socket to bypass internal wiring
- Run a remote line test from the support system to check for noise and line faults
- If the line test fails, book an engineer visit to repair the line</t>
        </is>
      </c>
      <c r="F18" s="7" t="n">
        <v>5</v>
      </c>
      <c r="G18" s="7" t="n">
        <v>5</v>
      </c>
      <c r="H18" s="7" t="n">
        <v>5</v>
      </c>
      <c r="I18" s="7" t="inlineStr">
        <is>
          <t>Yes</t>
        </is>
      </c>
      <c r="J18" s="7" t="inlineStr">
        <is>
          <t>RESOLVE</t>
        </is>
      </c>
      <c r="K18" s="7" t="inlineStr">
        <is>
          <t>[AI] Matches the reference.</t>
        </is>
      </c>
    </row>
    <row r="19" ht="230" customHeight="1">
      <c r="A19" s="6" t="inlineStr">
        <is>
          <t>H17</t>
        </is>
      </c>
      <c r="B19" s="6" t="inlineStr">
        <is>
          <t>Hi, Nobody in the village can use their handsets since the early hours. It affects the whole family. I've already tried airplane mode. It has been happening for three days. Very frustrating, please sort it out.</t>
        </is>
      </c>
      <c r="C19" s="6" t="inlineStr">
        <is>
          <t>[1] ticket TKT-000156: Complaint: Hey, Phone signal disappears in my flat so calls and texts fail. I've already toggled airplane mode. I can't watch anything in the evenings. Very frustrating, please sort it out. Resolution: Customer reported poor indo…
[2] ticket TKT-000150: Complaint: Hello, I have no mobile signal inside my house. I've already restarted the phone. My kids need it for school work. Very frustrating, please sort it out. Regards. Resolution: Caller described poor indoor mobile coverage…
[3] ticket TKT-001891: Complaint: Good morning, Calls and data aren't working for anyone around here. It started overnight. This is completely unacceptable. Regards. Resolution: Ticket raised for mobile mast outage in the area. Root cause: Mobile mast …
[4] ticket TKT-001888: Complaint: The mobile network is down where I live. Other networks work. I've already restarted the phone. My kids need it for school work. Appreciate your help as always! Resolution: Caller described mobile mast outage in the ar…
[5] ticket TKT-001889: Complaint: Calls and data aren't working for anyone around here. I'm really fed up with this. Resolution: Customer reported mobile mast outage in the area. Check the network status page for mast outages near the customer's postco…
[6] ticket TKT-001894: Complaint: Hi, Calls and data aren't working for anyone around here. It started overnight. Thank you, your support has been great before. Regards. Resolution: Ticket raised for mobile mast outage in the area. Root cause: Mobile m…
[7] kb article KB-0038: Mobile mast outage in the area Applies to: mobile_service. Typical symptoms: there's no mobile service anywhere in town today; my phone and everyone else's has no signal in this area. Cause: Mobile mast (cell site) outage or main…
[8] kb article KB-0020: Phone shows 'No SIM' or 'Invalid SIM' Applies to: mobile_service. Typical symptoms: my phone says no SIM card inserted; the SIM is not detected and I can't make calls. Cause: Damaged or worn SIM card, or a SIM tray/reader issue. …</t>
        </is>
      </c>
      <c r="D19" s="6" t="inlineStr">
        <is>
          <t>1. Check the network status page for mast outages near the customer's postcode to confirm if a mobile mast outage or maintenance is affecting the area. [3][4][5][6][7]
2. Share the incident reference and estimated restoration time with the customer. [3][4][5][6][7]
3. Enable Wi-Fi Calling on the handset as a workaround if the customer has home broadband. [1][2][4][5][7]
4. Make sure the phone software and carrier settings are up to date. [2]
5. If the issue is not resolved by the above steps, escalate to second-line support with the results of each step. [7]</t>
        </is>
      </c>
      <c r="E19" s="6" t="inlineStr">
        <is>
          <t>- Check the network status page for mast outages near the customer's postcode
- Share the incident reference and estimated restoration time
- Enable Wi-Fi Calling as a workaround if the customer has broadband</t>
        </is>
      </c>
      <c r="F19" s="7" t="n">
        <v>5</v>
      </c>
      <c r="G19" s="7" t="n">
        <v>5</v>
      </c>
      <c r="H19" s="7" t="n">
        <v>5</v>
      </c>
      <c r="I19" s="7" t="inlineStr">
        <is>
          <t>Yes</t>
        </is>
      </c>
      <c r="J19" s="7" t="inlineStr">
        <is>
          <t>RESOLVE</t>
        </is>
      </c>
      <c r="K19" s="7" t="inlineStr">
        <is>
          <t>[AI] All three reference steps from the mast-outage KB; the software-update step is a harmless extra.</t>
        </is>
      </c>
    </row>
    <row r="20" ht="230" customHeight="1">
      <c r="A20" s="6" t="inlineStr">
        <is>
          <t>H18</t>
        </is>
      </c>
      <c r="B20" s="6" t="inlineStr">
        <is>
          <t>Good morning, I held down the little pinhole button on the hub and since then the web is gone. I've already restarted it again. It has been happening since Monday. I'm really fed up with this.</t>
        </is>
      </c>
      <c r="C20" s="6" t="inlineStr">
        <is>
          <t>[1] ticket TKT-000822: Complaint: My hub restarts by itself and drops everyone off the internet. I've already factory reset it. It has been happening for three days. This is completely unacceptable. Regards. Resolution: Customer did not respond to foll…
[2] ticket TKT-000818: Complaint: Hello, My hub restarts by itself and drops everyone off the internet. It sits on top of the set-top box. I've already factory reset it. It has been happening since Monday. I'm really fed up with this. Cheers. Resolutio…
[3] ticket TKT-000810: Complaint: Good morning, My hub restarts by itself and drops everyone off the internet. It's in a closed cabinet. I've already factory reset it. It has been happening since yesterday. I can't watch anything in the evenings. Thank…
[4] ticket TKT-000811: Complaint: My hub restarts by itself and drops everyone off the internet. It sits on top of the set-top box. It has been happening since yesterday. Honestly this is ridiculous and I'm close to leaving. Regards. Resolution: Ticket…
[5] ticket TKT-000779: Complaint: My hub restarts by itself and drops everyone off the internet. It has been happening since last month. I can't watch anything in the evenings. Very frustrating, please sort it out. Regards. Resolution: Caller described…
[6] ticket TKT-000791: Complaint: Hi, My hub restarts by itself and drops everyone off the internet. I've already moved the router. This is completely unacceptable. Resolution: Investigated router rebooting on its own. Place the router upright in a ven…
[7] kb article KB-0006: Connected but no websites load (DNS errors) Applies to: broadband. Typical symptoms: my internet shows connected but websites won't load; I can't browse any sites although the router says it is online. Cause: DNS resolution failu…
[8] kb article KB-0021: Router ethernet port not working Applies to: router. Typical symptoms: one of the ethernet ports on my router has stopped working; my PC gets no connection when plugged into the router's LAN port. Cause: Faulty LAN port, damaged …</t>
        </is>
      </c>
      <c r="D20" s="6" t="inlineStr">
        <is>
          <t>1. Place the router upright in a ventilated spot, not in a cabinet or on other electronics. [2][3][4][5][6]
2. Check the router's event log for thermal or power-related restarts. [2][3][4][5][6]
3. Update the router firmware. [2][3][5]
4. If reboots continue, replace the router and power adapter. [2][3][5]</t>
        </is>
      </c>
      <c r="E20" s="6" t="inlineStr">
        <is>
          <t>- Log in to the router admin page using the default credentials on the label
- Re-enter the broadband PPPoE username and password from the account
- Set the WAN VLAN ID required by the network if using a third-party router
- Reconfigure the Wi-Fi name and password</t>
        </is>
      </c>
      <c r="F20" s="7" t="n">
        <v>1</v>
      </c>
      <c r="G20" s="7" t="n">
        <v>1</v>
      </c>
      <c r="H20" s="7" t="n">
        <v>2</v>
      </c>
      <c r="I20" s="7" t="inlineStr">
        <is>
          <t>No</t>
        </is>
      </c>
      <c r="J20" s="7" t="inlineStr">
        <is>
          <t>ESCALATE</t>
        </is>
      </c>
      <c r="K20" s="7" t="inlineStr">
        <is>
          <t>[AI] Wrong scenario: steps for a router that reboots itself (ventilation, firmware, replacement) after a factory reset that needs the PPPoE credentials re-entered; the factory-reset KB was not retrieved.</t>
        </is>
      </c>
    </row>
    <row r="21" ht="230" customHeight="1">
      <c r="A21" s="6" t="inlineStr">
        <is>
          <t>H19</t>
        </is>
      </c>
      <c r="B21" s="6" t="inlineStr">
        <is>
          <t>Hey, Indoors the bars on my handset vanish and people can't reach me. My partner's phone on another network works. I've already restarted the phone. I run my business from home and this is costing me money. Can you look into it?</t>
        </is>
      </c>
      <c r="C21" s="6" t="inlineStr">
        <is>
          <t>[1] ticket TKT-000151: Complaint: Calls drop as soon as I walk indoors and the phone shows one bar. We recently moved. I've already restarted the phone. It has been happening for three days. It's really disruptive. Can you look into it? Resolution: Cal…
[2] ticket TKT-000140: Complaint: Hey, Calls drop as soon as I walk indoors and the phone shows one bar. We recently moved. I've already removed the case. I run my business from home and this is costing me money. Very frustrating, please sort it out. T…
[3] ticket TKT-000152: Complaint: Hello, Calls drop as soon as I walk indoors and the phone shows one bar. We recently moved. It has been happening since yesterday. I run my business from home and this is costing me money. Very frustrating, please sort…
[4] ticket TKT-000144: Complaint: Good morning, Calls drop as soon as I walk indoors and the phone shows one bar. We recently moved. I've already toggled airplane mode. Appreciate your help as always! Resolution: Customer did not respond to follow-up. …
[5] ticket TKT-000127: Complaint: Good morning, Calls drop as soon as I walk indoors and the phone shows one bar. The house has thick stone walls. I've already removed the case. I can't watch anything in the evenings. Please advise. Resolution: Investi…
[6] ticket TKT-000123: Complaint: Hey, Calls drop as soon as I walk indoors and the phone shows one bar. The house has thick stone walls. I've already removed the case. Please advise. Regards. Resolution: Investigated poor indoor mobile coverage and wi…
[7] kb article KB-0004: Poor indoor mobile coverage and Wi-Fi Calling Applies to: mobile_service. Typical symptoms: I have no mobile signal inside my house; calls drop as soon as I walk indoors and the phone shows one bar. Cause: Weak indoor coverage du…
[8] kb article KB-0038: Mobile mast outage in the area Applies to: mobile_service. Typical symptoms: there's no mobile service anywhere in town today; my phone and everyone else's has no signal in this area. Cause: Mobile mast (cell site) outage or main…</t>
        </is>
      </c>
      <c r="D21" s="6" t="inlineStr">
        <is>
          <t>1. Check the coverage map for the customer's address to confirm if the issue is due to weak indoor coverage from building materials or distance from the mast. [1][2][3][5][6][7]
2. Enable Wi-Fi Calling on the handset so that calls and texts route over the home broadband connection. [1][2][3][5][6][7]
3. Make sure the phone software and carrier settings are up to date. [3][5][6][7]
4. If Wi-Fi Calling is not possible, offer an indoor signal booster or femtocell to improve indoor reception. [7]</t>
        </is>
      </c>
      <c r="E21" s="6" t="inlineStr">
        <is>
          <t>- Check the coverage map for the customer's address
- Enable Wi-Fi Calling on the handset so calls route over home broadband
- Make sure the phone software and carrier settings are up to date
- Offer an indoor signal booster or femtocell if Wi-Fi Calling is not possible</t>
        </is>
      </c>
      <c r="F21" s="7" t="n">
        <v>5</v>
      </c>
      <c r="G21" s="7" t="n">
        <v>5</v>
      </c>
      <c r="H21" s="7" t="n">
        <v>5</v>
      </c>
      <c r="I21" s="7" t="inlineStr">
        <is>
          <t>Yes</t>
        </is>
      </c>
      <c r="J21" s="7" t="inlineStr">
        <is>
          <t>RESOLVE</t>
        </is>
      </c>
      <c r="K21" s="7" t="inlineStr">
        <is>
          <t>[AI] Matches the reference.</t>
        </is>
      </c>
    </row>
    <row r="22" ht="230" customHeight="1">
      <c r="A22" s="6" t="inlineStr">
        <is>
          <t>H20</t>
        </is>
      </c>
      <c r="B22" s="6" t="inlineStr">
        <is>
          <t>Hi, The security code you text me for signing in simply never shows up. I've already requested the code several times. It has been happening since Monday. I run my business from home and this is costing me money. Please advise.</t>
        </is>
      </c>
      <c r="C22" s="6" t="inlineStr">
        <is>
          <t>[1] ticket TKT-001684: Complaint: Hi, The login code text isn't being delivered to my phone. I've already requested the code several times. It has been happening since yesterday. I can't watch anything in the evenings. I'm really fed up with this. Chee…
[2] ticket TKT-001666: Complaint: The login code text isn't being delivered to my phone. I'm abroad. I've already requested the code several times. Thank you, your support has been great before. Regards. Resolution: Customer reported one-time passcode …
[3] ticket TKT-001709: Complaint: The login code text isn't being delivered to my phone. I'm abroad. I've already requested the code several times. This is completely unacceptable. Cheers. Resolution: Investigated one-time passcode not received. Root c…
[4] ticket TKT-001676: Complaint: Good morning, The login code text isn't being delivered to my phone. I'm abroad. Very frustrating, please sort it out. Resolution: Customer reported one-time passcode not received. Root cause: Outdated mobile number on…
[5] ticket TKT-001694: Complaint: Hello, The login code text isn't being delivered to my phone. I changed my number recently. It has been happening since Monday. I run my business from home and this is costing me money. Thanks in advance, you've always…
[6] ticket TKT-001688: Complaint: Good morning, The login code text isn't being delivered to my phone. I've already restarted my phone. It has been happening for two weeks. I can't watch anything in the evenings. This is completely unacceptable. Resolu…
[7] kb article KB-0034: One-time passcode not received Applies to: account_portal. Typical symptoms: I'm not receiving the one-time passcode to log in; the OTP verification code never arrives by SMS. Cause: Outdated mobile number on the account, SMS blo…
[8] kb article KB-0013: Unrecognised third-party and premium SMS charges Applies to: billing_system, mobile_service. Typical symptoms: there are charges for premium text services I never signed up for; my phone bill has third-party subscription charges …</t>
        </is>
      </c>
      <c r="D22" s="6" t="inlineStr">
        <is>
          <t>1. Check the mobile number registered for two-factor authentication to verify if it is outdated or incorrect [1][2][3][4][5][6][7].
2. If the registered number is outdated, update the number after completing identity verification [1][2][3][4][5][6][7].
3. Check for SMS blocking or spam filtering on the customer's handset that may be preventing delivery of the code [5][7].
4. Offer email or authenticator-app verification as an alternative method to receive the one-time passcode [5][7].
5. If the issue persists after completing the above steps, escalate the ticket to second-line support with the results of each step [7].</t>
        </is>
      </c>
      <c r="E22" s="6" t="inlineStr">
        <is>
          <t>- Check the mobile number registered for two-factor authentication
- Update the number after identity verification if it is outdated
- Offer email or authenticator-app verification as an alternative
- Check for SMS blocking or spam filtering on the handset</t>
        </is>
      </c>
      <c r="F22" s="7" t="n">
        <v>5</v>
      </c>
      <c r="G22" s="7" t="n">
        <v>5</v>
      </c>
      <c r="H22" s="7" t="n">
        <v>5</v>
      </c>
      <c r="I22" s="7" t="inlineStr">
        <is>
          <t>Yes</t>
        </is>
      </c>
      <c r="J22" s="7" t="inlineStr">
        <is>
          <t>RESOLVE</t>
        </is>
      </c>
      <c r="K22" s="7" t="inlineStr">
        <is>
          <t>[AI] All four reference steps plus escalation.</t>
        </is>
      </c>
    </row>
    <row r="23" ht="230" customHeight="1">
      <c r="A23" s="6" t="inlineStr">
        <is>
          <t>H21</t>
        </is>
      </c>
      <c r="B23" s="6" t="inlineStr">
        <is>
          <t>Hello, I want a permanent internet address so I can reach my NAS from outside. It has been happening for three days. I run my business from home and this is costing me money. Appreciate your help as always!</t>
        </is>
      </c>
      <c r="C23" s="6" t="inlineStr">
        <is>
          <t>[1] ticket TKT-001624: Complaint: Good morning, I need a static IP address for my home server. I've already looked on the website. It has been happening since last month. I run my business from home and this is costing me money. I'm really fed up with …
[2] ticket TKT-001616: Complaint: Hi, I need a static IP address for my home server. I use a VPN. It has been happening for about a week. It's really disruptive. Appreciate your help as always! Resolution: Customer did not respond to follow-up. Closed …
[3] ticket TKT-001598: Complaint: Good morning, I need a static IP address for my home server. I've already looked on the website. It has been happening for three days. My kids need it for school work. Honestly this is ridiculous and I'm close to leavi…
[4] ticket TKT-001613: Complaint: Hello, My IP address keeps changing and I need it to stay the same. I run a small business from home. I've already looked on the website. We take card payments through this connection and the shop can't trade. Please a…
[5] ticket TKT-001629: Complaint: Hi, I need a static IP address for my home server. It has been happening for about a week. Please advise. Thanks. Resolution: Customer did not respond to follow-up. Closed without confirmed resolution.
[6] ticket TKT-001585: Complaint: Hi, I need a static IP address for my home server. I run a small business from home. I've already used dynamic DNS. It has been happening since last month. I'm really fed up with this. Resolution: Investigated requesti…
[7] kb article KB-0032: Requesting a static IP address Applies to: broadband. Typical symptoms: I need a static IP address for my home server; can I get a fixed IP on my broadband. Cause: Dynamic public IP allocation; static IP is an add-on. Resolution …
[8] kb article KB-0006: Connected but no websites load (DNS errors) Applies to: broadband. Typical symptoms: my internet shows connected but websites won't load; I can't browse any sites although the router says it is online. Cause: DNS resolution failu…</t>
        </is>
      </c>
      <c r="D23" s="6" t="inlineStr">
        <is>
          <t>1. Explain the difference between dynamic and static IP addresses to the customer. [1][3][4][6][7]
2. Add the static IP add-on to the customer's account. [1][3][4][6][7]
3. Ask the customer to restart their router to receive the new static IP. [1][3][4][7]
4. Suggest dynamic DNS as a free alternative if the customer prefers not to pay for the static IP add-on. [7]</t>
        </is>
      </c>
      <c r="E23" s="6" t="inlineStr">
        <is>
          <t>- Explain the difference between dynamic and static IP addresses
- Add the static IP add-on to the account
- Ask the customer to restart the router to receive the static IP
- Suggest dynamic DNS as a free alternative</t>
        </is>
      </c>
      <c r="F23" s="7" t="n">
        <v>5</v>
      </c>
      <c r="G23" s="7" t="n">
        <v>5</v>
      </c>
      <c r="H23" s="7" t="n">
        <v>5</v>
      </c>
      <c r="I23" s="7" t="inlineStr">
        <is>
          <t>Yes</t>
        </is>
      </c>
      <c r="J23" s="7" t="inlineStr">
        <is>
          <t>RESOLVE</t>
        </is>
      </c>
      <c r="K23" s="7" t="inlineStr">
        <is>
          <t>[AI] Matches the reference; dynamic DNS is offered only as a cheaper alternative.</t>
        </is>
      </c>
    </row>
    <row r="24" ht="230" customHeight="1">
      <c r="A24" s="6" t="inlineStr">
        <is>
          <t>H22</t>
        </is>
      </c>
      <c r="B24" s="6" t="inlineStr">
        <is>
          <t>Good morning, A penalty for leaving the contract early was applied even though I relocated. The fee is over 100. My kids need it for school work. Please advise. Thanks.</t>
        </is>
      </c>
      <c r="C24" s="6" t="inlineStr">
        <is>
          <t>[1] ticket TKT-000732: Complaint: Hi there, An exit fee appeared on my final bill after relocating. I've already read the terms. My kids need it for school work. I'm really fed up with this. Thanks. Resolution: Investigated early termination fees when …
[2] ticket TKT-000759: Complaint: Hi, You billed me a cancellation fee when I moved to an area you don't cover. The new address has no coverage. I've already asked about moving the service. My kids need it for school work. This is completely unacceptab…
[3] ticket TKT-000734: Complaint: Good morning, I was charged an early termination fee because I moved house. I was offered no alternative. It has been happening since yesterday. My kids need it for school work. Can you look into it? Resolution: Caller…
[4] ticket TKT-000765: Complaint: An exit fee appeared on my final bill after relocating. The new address has no coverage. It has been happening for three days. My kids need it for school work. Thank you, your support has been great before. Thanks. Res…
[5] ticket TKT-000760: Complaint: I was charged an early termination fee because I moved house. I've already asked about moving the service. My kids need it for school work. Very frustrating, please sort it out. Cheers. Resolution: Caller described ear…
[6] ticket TKT-000744: Complaint: I'm disputing the early cancellation charge since I had to move. I was offered no alternative. I've already checked the contract. It has been happening for two weeks. My kids need it for school work. Thank you, your su…
[7] kb article KB-0016: Early termination fees when moving home Applies to: billing_system, broadband. Typical symptoms: I was charged an early termination fee because I moved house; you billed me a cancellation fee when I moved to an area you don't cov…
[8] kb article KB-0015: Charged after cancelling a service Applies to: billing_system. Typical symptoms: I cancelled my service last month but you're still billing me; I'm still being charged even though I closed my account. Cause: The cancellation was …</t>
        </is>
      </c>
      <c r="D24" s="6" t="inlineStr">
        <is>
          <t>1. Check whether the broadband service is available at the customer's new address [2][3][4][5][6][7].
2. If the service is unavailable at the new address, waive the early termination fee under the home-move policy [2][3][4][5][6][7].
3. If the service is available at the new address, offer to transfer the contract to the new address instead [1][2][4][5][7].
4. Issue a corrected final bill to the customer [1][5][7].
5. If the issue is not resolved by the above steps, escalate to second-line support with the results of each step [7].</t>
        </is>
      </c>
      <c r="E24" s="6" t="inlineStr">
        <is>
          <t>- Check whether the service is available at the customer's new address
- If service is unavailable at the new address, waive the early termination fee under the home-move policy
- If service is available, offer to transfer the contract to the new address instead
- Issue a corrected final bill</t>
        </is>
      </c>
      <c r="F24" s="7" t="n">
        <v>5</v>
      </c>
      <c r="G24" s="7" t="n">
        <v>5</v>
      </c>
      <c r="H24" s="7" t="n">
        <v>5</v>
      </c>
      <c r="I24" s="7" t="inlineStr">
        <is>
          <t>Yes</t>
        </is>
      </c>
      <c r="J24" s="7" t="inlineStr">
        <is>
          <t>RESOLVE</t>
        </is>
      </c>
      <c r="K24" s="7" t="inlineStr">
        <is>
          <t>[AI] All four reference steps plus escalation.</t>
        </is>
      </c>
    </row>
    <row r="25" ht="230" customHeight="1">
      <c r="A25" s="6" t="inlineStr">
        <is>
          <t>H23</t>
        </is>
      </c>
      <c r="B25" s="6" t="inlineStr">
        <is>
          <t>The network indicator never switches to the faster mode I'm paying for, downloads are poor. I got the phone abroad. I've already reset network settings. It has been happening since Monday. Thanks in advance, you've always been helpful. Regards.</t>
        </is>
      </c>
      <c r="C25" s="6" t="inlineStr">
        <is>
          <t>[1] ticket TKT-000452: Complaint: Hi there, My phone data was fast until last week and now pages barely load. I've already restarted the phone. It has been happening since yesterday. Can you look into it? Resolution: Investigated mobile data slowed aft…
[2] ticket TKT-000451: Complaint: Hi, My phone data was fast until last week and now pages barely load. It has been happening for two weeks. Very frustrating, please sort it out. Resolution: Customer reported mobile data slowed after reaching the usage…
[3] ticket TKT-000449: Complaint: Hello, My phone data was fast until last week and now pages barely load. I've already restarted the phone. It has been happening since yesterday. What are my options? Resolution: Investigated mobile data slowed after r…
[4] kb article KB-0010: Mobile data slowed after reaching the usage allowance Applies to: mobile_service. Typical symptoms: my mobile data became extremely slow halfway through the month; data speed dropped to almost nothing after I used a lot this mont…
[5] ticket TKT-001267: Complaint: Hello, I'm paying for the faster plan now but still getting my old speed. I've already restarted the laptop. My kids need it for school work. Honestly this is ridiculous and I'm close to leaving. Regards. Resolution: I…
[6] ticket TKT-000432: Complaint: My phone stays on 4G even in 5G areas and data is slow. I've already reset network settings. We take card payments through this connection and the shop can't trade. This is completely unacceptable. Regards. Resolution:…
[7] ticket TKT-001299: Complaint: Hi there, I'm paying for the faster plan now but still getting my old speed. It has been happening since Monday. Very frustrating, please sort it out. Regards. Resolution: Ticket raised for speed upgrade not applied. W…
[8] kb article KB-0009: Phone stuck on 4G with a 5G plan Applies to: 5g_service, mobile_service. Typical symptoms: my phone stays on 4G even in 5G areas and data is slow; I have a 5G plan but my phone only shows LTE. Cause: 5G disabled in handset settin…</t>
        </is>
      </c>
      <c r="D25" s="6" t="inlineStr">
        <is>
          <t>1. Set the phone's preferred network type to 5G/Auto in the mobile network settings. [6][8]
2. Install the latest carrier settings and phone software update on the device. [6][8]
3. Check that the SIM is 5G-enabled and replace it if it is an older, non-5G-provisioned SIM. [6][8]
4. Confirm that 5G is provisioned on the account and that the specific handset model is supported. [8]
5. Check the data usage against the plan's fair-usage allowance in the account to rule out speed throttling. [1][2][3][4]
6. If the issue persists after these steps, escalate to second-line support with the results of each step. [4][8]</t>
        </is>
      </c>
      <c r="E25" s="6" t="inlineStr">
        <is>
          <t>- Set the phone's preferred network type to 5G/Auto in mobile network settings
- Install the latest carrier settings and phone software update
- Check that the SIM is 5G-enabled and replace older SIMs
- Confirm 5G is provisioned on the account and the handset model is supported</t>
        </is>
      </c>
      <c r="F25" s="7" t="n">
        <v>5</v>
      </c>
      <c r="G25" s="7" t="n">
        <v>5</v>
      </c>
      <c r="H25" s="7" t="n">
        <v>5</v>
      </c>
      <c r="I25" s="7" t="inlineStr">
        <is>
          <t>Yes</t>
        </is>
      </c>
      <c r="J25" s="7" t="inlineStr">
        <is>
          <t>RESOLVE</t>
        </is>
      </c>
      <c r="K25" s="7" t="inlineStr">
        <is>
          <t>[AI] All four reference steps, including the handset-support check that matters for a phone bought abroad; the fair-usage check is a harmless extra.</t>
        </is>
      </c>
    </row>
    <row r="26" ht="230" customHeight="1">
      <c r="A26" s="6" t="inlineStr">
        <is>
          <t>H24</t>
        </is>
      </c>
      <c r="B26" s="6" t="inlineStr">
        <is>
          <t>To whom it may concern, Since changing tariff to include the newest network I still can't use it. I've already restarted the phone. It has been happening since yesterday. I can't watch anything in the evenings. I'm really fed up with this.</t>
        </is>
      </c>
      <c r="C26" s="6" t="inlineStr">
        <is>
          <t>[1] ticket TKT-001228: Complaint: The account says 5G plan but the network won't give me 5G access. It changed on my bill. I've already restarted the phone. I can't watch anything in the evenings. Honestly this is ridiculous and I'm close to leaving. R…
[2] ticket TKT-001237: Complaint: Hey, The account says 5G plan but the network won't give me 5G access. It changed on my bill. I've already updated software. I can't watch anything in the evenings. I'm really fed up with this. Regards. Resolution: Cal…
[3] ticket TKT-001223: Complaint: The account says 5G plan but the network won't give me 5G access. I can't watch anything in the evenings. Can you look into it? Thanks. Resolution: Ticket raised for 5g plan active but 5g not provisioned. Advised custo…
[4] ticket TKT-001254: Complaint: The account says 5G plan but the network won't give me 5G access. It changed on my bill. It's really disruptive. Let me know what to do. Resolution: Caller described 5g plan active but 5g not provisioned. Root cause: T…
[5] ticket TKT-001221: Complaint: Hi, The account says 5G plan but the network won't give me 5G access. I've already reset network settings. I can't watch anything in the evenings. Thanks in advance, you've always been helpful. Resolution: Customer rep…
[6] ticket TKT-000442: Complaint: Data speed dropped to almost nothing after I used a lot this month. I got a text about usage. I've already restarted the phone. It has been happening for two weeks. I can't watch anything in the evenings. Thanks in adv…
[7] kb article KB-0009: Phone stuck on 4G with a 5G plan Applies to: 5g_service, mobile_service. Typical symptoms: my phone stays on 4G even in 5G areas and data is slow; I have a 5G plan but my phone only shows LTE. Cause: 5G disabled in handset settin…
[8] kb article KB-0025: 5G plan active but 5G not provisioned Applies to: 5g_service. Typical symptoms: I switched to the 5G plan but 5G isn't enabled on my line; my plan upgrade to 5G hasn't been activated. Cause: The 5G service flag was not provisione…</t>
        </is>
      </c>
      <c r="D26" s="6" t="inlineStr">
        <is>
          <t>1. Check that the 5G service flag is provisioned on the line [1][2][3][4][5][8]
2. Re-provision the 5G service if the flag is missing [1][2][3][4][5][8]
3. Ask the customer to restart the handset to refresh network registration [3][4][5][8]
4. If the issue persists, escalate to second-line support with the results of each step [7][8]</t>
        </is>
      </c>
      <c r="E26" s="6" t="inlineStr">
        <is>
          <t>- Check that the 5G service flag is provisioned on the line
- Re-provision the 5G service if missing
- Ask the customer to restart the handset to refresh network registration</t>
        </is>
      </c>
      <c r="F26" s="7" t="n">
        <v>5</v>
      </c>
      <c r="G26" s="7" t="n">
        <v>5</v>
      </c>
      <c r="H26" s="7" t="n">
        <v>5</v>
      </c>
      <c r="I26" s="7" t="inlineStr">
        <is>
          <t>Yes</t>
        </is>
      </c>
      <c r="J26" s="7" t="inlineStr">
        <is>
          <t>RESOLVE</t>
        </is>
      </c>
      <c r="K26" s="7" t="inlineStr">
        <is>
          <t>[AI] All three reference steps plus escalation.</t>
        </is>
      </c>
    </row>
    <row r="27" ht="230" customHeight="1">
      <c r="A27" s="6" t="inlineStr">
        <is>
          <t>H25</t>
        </is>
      </c>
      <c r="B27" s="6" t="inlineStr">
        <is>
          <t>Good morning, I've lost access to my customer area and the reset link doesn't arrive. I've already tried resetting the password. My kids need it for school work. What are my options? Cheers.</t>
        </is>
      </c>
      <c r="C27" s="6" t="inlineStr">
        <is>
          <t>[1] ticket TKT-001648: Complaint: Hi there, I forgot my password and can't log in. I use the app. It has been happening since Monday. My kids need it for school work. Please advise. Resolution: Investigated locked out of the online account. Verify the …
[2] ticket TKT-001650: Complaint: Hi, My account got locked after too many login attempts. I changed my email address. It has been happening since Monday. My kids need it for school work. This is completely unacceptable. Cheers. Resolution: Customer re…
[3] ticket TKT-001637: Complaint: I can't sign in to the app any more. I use the app. It has been happening since Monday. My kids need it for school work. Honestly this is ridiculous and I'm close to leaving. Thanks. Resolution: Customer reported locke…
[4] ticket TKT-001641: Complaint: I can't sign in to the app any more. I use the app. My kids need it for school work. I'm really fed up with this. Resolution: Investigated locked out of the online account. Root cause: Account locked after failed attem…
[5] ticket TKT-001647: Complaint: To whom it may concern, I forgot my password and can't log in. I've already used another browser. It's really disruptive. This is completely unacceptable. Resolution: Investigated locked out of the online account. Agen…
[6] ticket TKT-001646: Complaint: To whom it may concern, I can't sign in to the app any more. I changed my email address. What are my options? Resolution: Customer reported locked out of the online account. Advised customer to: Verify the customer's i…
[7] kb article KB-0033: Locked out of the online account Applies to: account_portal. Typical symptoms: I'm locked out of my online account; I forgot my password and can't log in. Cause: Account locked after failed attempts or outdated recovery details. …
[8] kb article KB-0019: No internet after a router factory reset Applies to: router, broadband. Typical symptoms: I factory reset my router and now there's no internet; after pressing the reset button the router connects to wifi but not the internet. Ca…</t>
        </is>
      </c>
      <c r="D27" s="6" t="inlineStr">
        <is>
          <t>1. Verify the customer's identity using security questions. [1][2][3][4][5][6][7]
2. Unlock the account and send a new password reset link. [1][2][3][4][5][6][7]
3. Update the recovery email or mobile number if it is outdated. [1][4][7]
4. If the issue is not resolved after these steps, escalate to second-line support with the results of each step. [7]</t>
        </is>
      </c>
      <c r="E27" s="6" t="inlineStr">
        <is>
          <t>- Verify the customer's identity with security questions
- Unlock the account and send a password reset link
- Update the recovery email or mobile number if it is outdated</t>
        </is>
      </c>
      <c r="F27" s="7" t="n">
        <v>5</v>
      </c>
      <c r="G27" s="7" t="n">
        <v>5</v>
      </c>
      <c r="H27" s="7" t="n">
        <v>4</v>
      </c>
      <c r="I27" s="7" t="inlineStr">
        <is>
          <t>Yes</t>
        </is>
      </c>
      <c r="J27" s="7" t="inlineStr">
        <is>
          <t>RESOLVE</t>
        </is>
      </c>
      <c r="K27" s="7" t="inlineStr">
        <is>
          <t>[AI] All reference steps; recovery details should be updated before re-sending the reset link, since the link is not arriving.</t>
        </is>
      </c>
    </row>
    <row r="28" ht="230" customHeight="1">
      <c r="A28" s="6" t="inlineStr">
        <is>
          <t>H26</t>
        </is>
      </c>
      <c r="B28" s="6" t="inlineStr">
        <is>
          <t>The website won't let me into my profile after several wrong tries. I've already tried resetting the password. My kids need it for school work. Very frustrating, please sort it out. Regards.</t>
        </is>
      </c>
      <c r="C28" s="6" t="inlineStr">
        <is>
          <t>[1] ticket TKT-001648: Complaint: Hi there, I forgot my password and can't log in. I use the app. It has been happening since Monday. My kids need it for school work. Please advise. Resolution: Investigated locked out of the online account. Verify the …
[2] ticket TKT-001641: Complaint: I can't sign in to the app any more. I use the app. My kids need it for school work. I'm really fed up with this. Resolution: Investigated locked out of the online account. Root cause: Account locked after failed attem…
[3] ticket TKT-001637: Complaint: I can't sign in to the app any more. I use the app. It has been happening since Monday. My kids need it for school work. Honestly this is ridiculous and I'm close to leaving. Thanks. Resolution: Customer reported locke…
[4] ticket TKT-001650: Complaint: Hi, My account got locked after too many login attempts. I changed my email address. It has been happening since Monday. My kids need it for school work. This is completely unacceptable. Cheers. Resolution: Customer re…
[5] ticket TKT-001644: Complaint: I forgot my password and can't log in. I changed my email address. It has been happening for about a week. Honestly this is ridiculous and I'm close to leaving. Regards. Resolution: Ticket raised for locked out of the …
[6] ticket TKT-001636: Complaint: Hi, I'm locked out of my online account. I use the app. I've already tried resetting the password. It has been happening for three days. Very frustrating, please sort it out. Resolution: Investigated locked out of the …
[7] kb article KB-0033: Locked out of the online account Applies to: account_portal. Typical symptoms: I'm locked out of my online account; I forgot my password and can't log in. Cause: Account locked after failed attempts or outdated recovery details. …
[8] kb article KB-0005: Device can't join Wi-Fi after a password or security change Applies to: router. Typical symptoms: one of my devices won't connect to the wifi after I changed the password; my laptop says incorrect password for the wifi even thoug…</t>
        </is>
      </c>
      <c r="D28" s="6" t="inlineStr">
        <is>
          <t>1. Verify the customer's identity using the account's security questions [1][2][3][4][5][6][7].
2. Unlock the customer's online account [1][2][3][4][5][6][7].
3. Send a new password reset link to the customer's registered contact details [1][2][3][4][5][6][7].
4. Update the recovery email or mobile number if the current details are outdated [1][2][4][5][6][7].
5. If the issue is not resolved after the above steps, escalate the ticket to second-line support with the results of each step [7].</t>
        </is>
      </c>
      <c r="E28" s="6" t="inlineStr">
        <is>
          <t>- Verify the customer's identity with security questions
- Unlock the account and send a password reset link
- Update the recovery email or mobile number if it is outdated</t>
        </is>
      </c>
      <c r="F28" s="7" t="n">
        <v>5</v>
      </c>
      <c r="G28" s="7" t="n">
        <v>5</v>
      </c>
      <c r="H28" s="7" t="n">
        <v>5</v>
      </c>
      <c r="I28" s="7" t="inlineStr">
        <is>
          <t>Yes</t>
        </is>
      </c>
      <c r="J28" s="7" t="inlineStr">
        <is>
          <t>RESOLVE</t>
        </is>
      </c>
      <c r="K28" s="7" t="inlineStr">
        <is>
          <t>[AI] All reference steps plus escalation.</t>
        </is>
      </c>
    </row>
    <row r="29" ht="230" customHeight="1">
      <c r="A29" s="6" t="inlineStr">
        <is>
          <t>H27</t>
        </is>
      </c>
      <c r="B29" s="6" t="inlineStr">
        <is>
          <t>Good morning, Online games work but typing any web address just spins and fails. Pinging an IP address works. I've already cleared the browser cache. It has been happening since yesterday. I work from home and keep missing client calls. I'm really fed up with this. Regards.</t>
        </is>
      </c>
      <c r="C29" s="6" t="inlineStr">
        <is>
          <t>[1] ticket TKT-000213: Complaint: Hi, The browser says server not found on every website even though wifi is connected. The error says DNS_PROBE_FINISHED. I've already cleared the browser cache. It has been happening since Monday. I work from home and …
[2] ticket TKT-000233: Complaint: Hello, I can't browse any sites although the router says it is online. It happens on all devices. I've already cleared the browser cache. My kids need it for school work. Please advise. Thanks. Resolution: Customer rep…
[3] ticket TKT-000279: Complaint: Hello, The browser says server not found on every website even though wifi is connected. The error says DNS_PROBE_FINISHED. We take card payments through this connection and the shop can't trade. Very frustrating, plea…
[4] ticket TKT-000248: Complaint: Hi, I can't browse any sites although the router says it is online. I've already tried another browser. I'm really fed up with this. Resolution: Ticket raised for connected but no websites load (dns errors). Root cause…
[5] ticket TKT-000232: Complaint: Hi there, My internet shows connected but websites won't load. The error says DNS_PROBE_FINISHED. I've already cleared the browser cache. It has been happening since Monday. I'm really fed up with this. Resolution: Cus…
[6] ticket TKT-000240: Complaint: My internet shows connected but websites won't load. It happens on all devices. I've already cleared the browser cache. I run my business from home and this is costing me money. Appreciate your help as always! Thanks. …
[7] kb article KB-0006: Connected but no websites load (DNS errors) Applies to: broadband. Typical symptoms: my internet shows connected but websites won't load; I can't browse any sites although the router says it is online. Cause: DNS resolution failu…
[8] kb article KB-0030: Strict NAT and port forwarding for gaming Applies to: router. Typical symptoms: my console says NAT type strict and I can't join online games; I need to open ports on my router for gaming. Cause: Router NAT restricts inbound conn…</t>
        </is>
      </c>
      <c r="D29" s="6" t="inlineStr">
        <is>
          <t>1. Confirm the issue is DNS by pinging an IP address such as 8.8.8.8. [1][2][4][6][7]
2. Flush the DNS cache on the device (ipconfig /flushdns on Windows). [1][2][4][6][7]
3. Set the router's DNS servers to automatic, or to a public resolver such as 1.1.1.1 and 8.8.8.8. [1][6][7]
4. Restart the router after changing DNS settings. [1][7]
5. If these steps do not resolve the issue, escalate to second-line support with the results of each step. [7]</t>
        </is>
      </c>
      <c r="E29" s="6" t="inlineStr">
        <is>
          <t>- Confirm the issue is DNS by pinging an IP address such as 8.8.8.8
- Flush the DNS cache on the device (ipconfig /flushdns on Windows)
- Set the router's DNS servers to automatic, or to a public resolver such as 1.1.1.1 and 8.8.8.8
- Restart the router after changing DNS settings</t>
        </is>
      </c>
      <c r="F29" s="7" t="n">
        <v>5</v>
      </c>
      <c r="G29" s="7" t="n">
        <v>5</v>
      </c>
      <c r="H29" s="7" t="n">
        <v>5</v>
      </c>
      <c r="I29" s="7" t="inlineStr">
        <is>
          <t>Yes</t>
        </is>
      </c>
      <c r="J29" s="7" t="inlineStr">
        <is>
          <t>RESOLVE</t>
        </is>
      </c>
      <c r="K29" s="7" t="inlineStr">
        <is>
          <t>[AI] Matches the reference (step 1 is already confirmed by the customer).</t>
        </is>
      </c>
    </row>
    <row r="30" ht="230" customHeight="1">
      <c r="A30" s="6" t="inlineStr">
        <is>
          <t>H28</t>
        </is>
      </c>
      <c r="B30" s="6" t="inlineStr">
        <is>
          <t>My scheduled monthly payment was rejected and I don't know why. I've already tried to log in. It has been happening since Monday. Honestly this is ridiculous and I'm close to leaving.</t>
        </is>
      </c>
      <c r="C30" s="6" t="inlineStr">
        <is>
          <t>[1] ticket TKT-001792: Complaint: My direct debit didn't go through this month. I've already tried to log in. It has been happening since yesterday. Honestly this is ridiculous and I'm close to leaving. Cheers. Resolution: Customer reported automatic p…
[2] ticket TKT-001773: Complaint: Hello, I got a payment failed message but my card is fine. My bank changed. I've already tried to log in. It has been happening since Monday. This is completely unacceptable. Resolution: Customer reported automatic pay…
[3] ticket TKT-001758: Complaint: To whom it may concern, I got a payment failed message but my card is fine. I've already tried to log in. It has been happening since last month. This is completely unacceptable. Cheers. Resolution: Ticket raised for a…
[4] ticket TKT-001785: Complaint: I got a payment failed message but my card is fine. My bank changed. I've already tried to log in. It has been happening for about a week. I can't watch anything in the evenings. Appreciate your help as always! Resolut…
[5] ticket TKT-001793: Complaint: Hi, My automatic payment keeps failing. I got a new card recently. I've already tried to log in. Honestly this is ridiculous and I'm close to leaving. Regards. Resolution: Caller described automatic payment failing. Ro…
[6] ticket TKT-001768: Complaint: Good morning, My direct debit didn't go through this month. I got a new card recently. I've already tried to log in. It has been happening since Monday. This is completely unacceptable. Thanks. Resolution: Caller descr…
[7] kb article KB-0036: Automatic payment failing Applies to: billing_system, account_portal. Typical symptoms: my automatic payment keeps failing; autopay was declined and now I have a late fee. Cause: Expired or replaced card details on file, or bank …
[8] kb article KB-0015: Charged after cancelling a service Applies to: billing_system. Typical symptoms: I cancelled my service last month but you're still billing me; I'm still being charged even though I closed my account. Cause: The cancellation was …</t>
        </is>
      </c>
      <c r="D30" s="6" t="inlineStr">
        <is>
          <t>1. Check the payment failure reason code to identify the root cause of the rejected payment. [1][2][3][4][5][6][7]
2. Update the card or bank details on the account to ensure the payment method is current and valid. [1][2][3][4][5][6][7]
3. Take a one-off payment for the outstanding balance to clear the current debt. [2][3][4][5][6][7]
4. Waive the late fee as a one-time courtesy if this was the first payment failure. [2][3][5][7]
5. Schedule a follow-up call the next day to confirm the issue is fixed. [2][5][6]
6. If the issue is not resolved by the above steps, escalate to second-line support with the results of each step. [7]</t>
        </is>
      </c>
      <c r="E30" s="6" t="inlineStr">
        <is>
          <t>- Check the payment failure reason code
- Update the card or bank details on the account
- Take a one-off payment for the outstanding balance
- Waive the late fee as a one-time courtesy if it was the first failure</t>
        </is>
      </c>
      <c r="F30" s="7" t="n">
        <v>5</v>
      </c>
      <c r="G30" s="7" t="n">
        <v>5</v>
      </c>
      <c r="H30" s="7" t="n">
        <v>5</v>
      </c>
      <c r="I30" s="7" t="inlineStr">
        <is>
          <t>Yes</t>
        </is>
      </c>
      <c r="J30" s="7" t="inlineStr">
        <is>
          <t>RESOLVE</t>
        </is>
      </c>
      <c r="K30" s="7" t="inlineStr">
        <is>
          <t>[AI] All four reference steps; follow-up call and escalation are harmless extras.</t>
        </is>
      </c>
    </row>
    <row r="31" ht="230" customHeight="1">
      <c r="A31" s="6" t="inlineStr">
        <is>
          <t>H29</t>
        </is>
      </c>
      <c r="B31" s="6" t="inlineStr">
        <is>
          <t>Hi, The glass connection was put in days ago and still hasn't gone live. I've already rebooted the router. It has been happening for about a week. Can you look into it? Thanks.</t>
        </is>
      </c>
      <c r="C31" s="6" t="inlineStr">
        <is>
          <t>[1] ticket TKT-002006: Complaint: To whom it may concern, The connection was down between midnight and 4am. I've already restarted the router. It has been happening since last month. My kids need it for school work. Very frustrating, please sort it out…
[2] ticket TKT-002032: Complaint: Good morning, Service cut out late last night and came back in the morning. It's only overnight. I've already restarted the router. It has been happening for about a week. Thank you, your support has been great before.…
[3] ticket TKT-002015: Complaint: Hi there, The connection was down between midnight and 4am. It's only overnight. I've already restarted the router. Thank you, your support has been great before. Resolution: Ticket raised for overnight outages from pl…
[4] ticket TKT-001049: Complaint: Hi, My new fiber line was installed but isn't activated. I can't watch anything in the evenings. Very frustrating, please sort it out. Regards. Resolution: Customer did not respond to follow-up. Closed without confirme…
[5] ticket TKT-000984: Complaint: Hi, My PC gets no connection when plugged into the router's LAN port. I've already restarted the router. It has been happening for three days. This is completely unacceptable. Resolution: Customer did not respond to fo…
[6] ticket TKT-002036: Complaint: Hey, The connection was down between midnight and 4am. It's only overnight. I've already restarted the router. Thanks in advance, you've always been helpful. Resolution: Caller described overnight outages from planned …
[7] kb article KB-0021: Router ethernet port not working Applies to: router. Typical symptoms: one of the ethernet ports on my router has stopped working; my PC gets no connection when plugged into the router's LAN port. Cause: Faulty LAN port, damaged …
[8] kb article KB-0022: New fibre installed but not active Applies to: fiber. Typical symptoms: the engineer installed my fibre yesterday but there's still no service; my new fiber line was installed but isn't activated. Cause: Order not yet provisioned…</t>
        </is>
      </c>
      <c r="D31" s="6" t="inlineStr">
        <is>
          <t>1. Check the order status and confirm that the ONT serial number is registered to the customer's account. [8]
2. Trigger provisioning of the service profile on the OLT. [8]
3. Ask the customer to reboot the ONT and router after provisioning. [8]
4. If the service is still not active, escalate the issue to the provisioning team. [8]</t>
        </is>
      </c>
      <c r="E31" s="6" t="inlineStr">
        <is>
          <t>- Check the order status and that the ONT serial number is registered to the account
- Trigger provisioning of the service profile on the OLT
- Ask the customer to reboot the ONT and router after provisioning
- If still not working, escalate to the provisioning team</t>
        </is>
      </c>
      <c r="F31" s="7" t="n">
        <v>5</v>
      </c>
      <c r="G31" s="7" t="n">
        <v>5</v>
      </c>
      <c r="H31" s="7" t="n">
        <v>5</v>
      </c>
      <c r="I31" s="7" t="inlineStr">
        <is>
          <t>Yes</t>
        </is>
      </c>
      <c r="J31" s="7" t="inlineStr">
        <is>
          <t>RESOLVE</t>
        </is>
      </c>
      <c r="K31" s="7" t="inlineStr">
        <is>
          <t>[AI] Matches the reference.</t>
        </is>
      </c>
    </row>
    <row r="32" ht="230" customHeight="1">
      <c r="A32" s="6" t="inlineStr">
        <is>
          <t>H30</t>
        </is>
      </c>
      <c r="B32" s="6" t="inlineStr">
        <is>
          <t>To whom it may concern, You debited my card for the subscription on two occasions this cycle. I'm now overdrawn. I've already called my bank. It has been happening since last month. Very frustrating, please sort it out. Cheers.</t>
        </is>
      </c>
      <c r="C32" s="6" t="inlineStr">
        <is>
          <t>[1] ticket TKT-001787: Complaint: To whom it may concern, My direct debit didn't go through this month. I got a new card recently. It has been happening for two weeks. I can't watch anything in the evenings. This is completely unacceptable. Cheers. Res…
[2] ticket TKT-001792: Complaint: My direct debit didn't go through this month. I've already tried to log in. It has been happening since yesterday. Honestly this is ridiculous and I'm close to leaving. Cheers. Resolution: Customer reported automatic p…
[3] ticket TKT-001789: Complaint: Good morning, My direct debit didn't go through this month. I can't watch anything in the evenings. Thanks in advance, you've always been helpful. Regards. Resolution: Investigated automatic payment failing. Check the …
[4] ticket TKT-000674: Complaint: Hey, A direct debit went out after I cancelled my contract. I've already logged into my account. It has been happening since yesterday. It's really disruptive. Let me know what to do. Thanks. Resolution: Customer did n…
[5] ticket TKT-000515: Complaint: Good morning, The monthly payment was taken two times from my account. It has been happening since yesterday. We take card payments through this connection and the shop can't trade. This is completely unacceptable. Reg…
[6] ticket TKT-001768: Complaint: Good morning, My direct debit didn't go through this month. I got a new card recently. I've already tried to log in. It has been happening since Monday. This is completely unacceptable. Thanks. Resolution: Caller descr…
[7] kb article KB-0014: Bill increased after a promotional discount ended Applies to: billing_system. Typical symptoms: my bill suddenly went up this month without warning; my monthly price increased a lot and I didn't change anything. Cause: The introd…
[8] kb article KB-0012: Handling duplicate payments and refunds Applies to: billing_system. Typical symptoms: I have been charged twice for this month's bill; my bank statement shows two identical payments to you. Cause: A duplicate payment, usually a m…</t>
        </is>
      </c>
      <c r="D32" s="6" t="inlineStr">
        <is>
          <t>1. Verify both transactions in the payments ledger and confirm they are for the same invoice. [8]
2. Raise a refund for the duplicate payment to the original payment method. [8]
3. Tell the customer refunds take 5-7 working days to appear. [8]
4. Offer a goodwill credit if the customer incurred bank charges. [8]</t>
        </is>
      </c>
      <c r="E32" s="6" t="inlineStr">
        <is>
          <t>- Verify both transactions in the payments ledger and confirm they are for the same invoice
- Raise a refund for the duplicate payment to the original payment method
- Tell the customer refunds take 5-7 working days to appear
- Offer a goodwill credit if the customer incurred bank charges</t>
        </is>
      </c>
      <c r="F32" s="7" t="n">
        <v>5</v>
      </c>
      <c r="G32" s="7" t="n">
        <v>5</v>
      </c>
      <c r="H32" s="7" t="n">
        <v>5</v>
      </c>
      <c r="I32" s="7" t="inlineStr">
        <is>
          <t>Yes</t>
        </is>
      </c>
      <c r="J32" s="7" t="inlineStr">
        <is>
          <t>RESOLVE</t>
        </is>
      </c>
      <c r="K32" s="7" t="inlineStr">
        <is>
          <t>[AI] Matches the reference; uses the duplicate-payment KB [8] rather than the failed-payment tickets ranked above it.</t>
        </is>
      </c>
    </row>
    <row r="33" ht="230" customHeight="1">
      <c r="A33" s="6" t="inlineStr">
        <is>
          <t>H31</t>
        </is>
      </c>
      <c r="B33" s="6" t="inlineStr">
        <is>
          <t>To whom it may concern, My games console won't get online through the cable, no little light by the socket. The cable was pulled hard. I've already restarted the router. It has been happening since yesterday. Let me know what to do.</t>
        </is>
      </c>
      <c r="C33" s="6" t="inlineStr">
        <is>
          <t>[1] kb article KB-0021: Router ethernet port not working Applies to: router. Typical symptoms: one of the ethernet ports on my router has stopped working; my PC gets no connection when plugged into the router's LAN port. Cause: Faulty LAN port, damaged …
[2] ticket TKT-000987: Complaint: The wired connection doesn't work and the port light never comes on. I've already restarted the router. It has been happening since yesterday. I can't watch anything in the evenings. This is completely unacceptable. Th…
[3] ticket TKT-000970: Complaint: To whom it may concern, The wired connection doesn't work and the port light never comes on. Wifi is fine. I've already restarted the router. It has been happening since Monday. My kids need it for school work. This is…
[4] ticket TKT-001977: Complaint: Hi there, The overhead cable was damaged in the wind and service is dead. The cable is lying across the drive. I've already restarted the router. It has been happening since yesterday. Very frustrating, please sort it …
[5] ticket TKT-001987: Complaint: Hello, My line has been down since the storm last night. The cable is lying across the drive. I've already restarted the router. My kids need it for school work. Let me know what to do. Cheers. Resolution: Customer rep…
[6] ticket TKT-000978: Complaint: Hello, My PC gets no connection when plugged into the router's LAN port. I've already used a different cable. It has been happening for three days. I run my business from home and this is costing me money. Thank you, y…
[7] ticket TKT-000122: Complaint: Hey, No internet at all, the fiber box on the wall shows a red light. The cable runs behind a cupboard. I've already power cycled the ONT. It has been happening since yesterday. Thanks in advance, you've always been he…
[8] kb article KB-0008: Fibre speed stuck at 100 Mbps: checking cables and router ports Applies to: fiber, router. Typical symptoms: I pay for 500 Mbps fibre but only get about 90; my gigabit fiber never goes above 100 Mbps on speed tests. Cause: A bott…</t>
        </is>
      </c>
      <c r="D33" s="6" t="inlineStr">
        <is>
          <t>1. Try a different LAN port on the router and use a known-good ethernet cable to rule out a faulty port or damaged cable [1][2][3].
2. Check the computer's network adapter to ensure it is enabled and that its drivers are up to date [1][2][3].
3. If multiple ports fail after testing different cables, replace the router [1][2][3].
4. If the issue is not resolved by the above steps, escalate the case to second-line support with the results of each step [1]</t>
        </is>
      </c>
      <c r="E33" s="6" t="inlineStr">
        <is>
          <t>- Try a different LAN port and a known-good ethernet cable
- Check the computer's network adapter is enabled and drivers are current
- If multiple ports fail, replace the router</t>
        </is>
      </c>
      <c r="F33" s="7" t="n">
        <v>5</v>
      </c>
      <c r="G33" s="7" t="n">
        <v>5</v>
      </c>
      <c r="H33" s="7" t="n">
        <v>5</v>
      </c>
      <c r="I33" s="7" t="inlineStr">
        <is>
          <t>Yes</t>
        </is>
      </c>
      <c r="J33" s="7" t="inlineStr">
        <is>
          <t>RESOLVE</t>
        </is>
      </c>
      <c r="K33" s="7" t="inlineStr">
        <is>
          <t>[AI] Matches the reference.</t>
        </is>
      </c>
    </row>
    <row r="34" ht="230" customHeight="1">
      <c r="A34" s="6" t="inlineStr">
        <is>
          <t>H32</t>
        </is>
      </c>
      <c r="B34" s="6" t="inlineStr">
        <is>
          <t>Hey, Each time someone calls the house the web stops working for a minute. The noise is worse when it rains. It's really disruptive. I'm really fed up with this. Cheers.</t>
        </is>
      </c>
      <c r="C34" s="6" t="inlineStr">
        <is>
          <t>[1] ticket TKT-001889: Complaint: Calls and data aren't working for anyone around here. I'm really fed up with this. Resolution: Customer reported mobile mast outage in the area. Check the network status page for mast outages near the customer's postco…
[2] ticket TKT-001811: Complaint: Hello, Nobody on our street has broadband right now. I've already restarted the router. It's really disruptive. I'm really fed up with this. Cheers. Resolution: Caller described area-wide broadband outage. Check the ou…
[3] ticket TKT-000131: Complaint: Hi there, Calls drop as soon as I walk indoors and the phone shows one bar. I can't watch anything in the evenings. Honestly this is ridiculous and I'm close to leaving. Resolution: Caller described poor indoor mobile …
[4] ticket TKT-000151: Complaint: Calls drop as soon as I walk indoors and the phone shows one bar. We recently moved. I've already restarted the phone. It has been happening for three days. It's really disruptive. Can you look into it? Resolution: Cal…
[5] ticket TKT-001814: Complaint: Hi there, The whole neighbourhood has lost internet since this morning. It has been happening for about a week. Let me know what to do. Resolution: Customer did not respond to follow-up. Closed without confirmed resolu…
[6] ticket TKT-001873: Complaint: Good morning, The whole neighbourhood has lost internet since this morning. It started around 9am. It has been happening for three days. It's really disruptive. Honestly this is ridiculous and I'm close to leaving. Res…
[7] kb article KB-0002: Broadband drops when the phone rings: line noise and microfilters Applies to: broadband. Typical symptoms: my broadband disconnects whenever the home phone rings; there is crackling on the landline and the internet drops at the s…
[8] kb article KB-0004: Poor indoor mobile coverage and Wi-Fi Calling Applies to: mobile_service. Typical symptoms: I have no mobile signal inside my house; calls drop as soon as I walk indoors and the phone shows one bar. Cause: Weak indoor coverage du…</t>
        </is>
      </c>
      <c r="D34" s="6" t="inlineStr">
        <is>
          <t>1. Fit a microfilter on every phone socket that has a phone or device plugged in to isolate the broadband line from the telephone line. [7]
2. Connect the modem directly to the master socket using the test socket to bypass any internal wiring that may be causing the noise. [7]
3. Run a remote line test from the support system to check for electrical noise and line faults on the copper line. [7]
4. If the remote line test fails, book an engineer visit to repair the faulty line. [7]
5. If the issue persists after the above steps, escalate to second-line support with the results of each step. [7]</t>
        </is>
      </c>
      <c r="E34" s="6" t="inlineStr">
        <is>
          <t>- Fit a microfilter on every phone socket that has a phone or device plugged in
- Connect the modem to the master socket using the test socket to bypass internal wiring
- Run a remote line test from the support system to check for noise and line faults
- If the line test fails, book an engineer visit to repair the line</t>
        </is>
      </c>
      <c r="F34" s="7" t="n">
        <v>5</v>
      </c>
      <c r="G34" s="7" t="n">
        <v>5</v>
      </c>
      <c r="H34" s="7" t="n">
        <v>5</v>
      </c>
      <c r="I34" s="7" t="inlineStr">
        <is>
          <t>Yes</t>
        </is>
      </c>
      <c r="J34" s="7" t="inlineStr">
        <is>
          <t>RESOLVE</t>
        </is>
      </c>
      <c r="K34" s="7" t="inlineStr">
        <is>
          <t>[AI] Matches the reference.</t>
        </is>
      </c>
    </row>
    <row r="35" ht="230" customHeight="1">
      <c r="A35" s="6" t="inlineStr">
        <is>
          <t>H33</t>
        </is>
      </c>
      <c r="B35" s="6" t="inlineStr">
        <is>
          <t>Hi there, This statement is noticeably bigger than all the previous ones. The increase is about 15 a month. I've already compared old bills. Please advise.</t>
        </is>
      </c>
      <c r="C35" s="6" t="inlineStr">
        <is>
          <t>[1] ticket TKT-000638: Complaint: Hi, My monthly price increased a lot and I didn't change anything. I've already compared old bills. It has been happening for about a week. Can you look into it? Resolution: Customer reported bill increased after a pro…
[2] ticket TKT-000647: Complaint: Hi, My bill suddenly went up this month without warning. I've already compared old bills. I work from home and keep missing client calls. This is completely unacceptable. Resolution: Investigated bill increased after a…
[3] ticket TKT-000621: Complaint: Hi, My bill suddenly went up this month without warning. I joined on a special offer last year. I've already checked the website. It has been happening since last month. I work from home and keep missing client calls. …
[4] ticket TKT-000651: Complaint: My monthly price increased a lot and I didn't change anything. I joined on a special offer last year. I've already compared old bills. It has been happening for two weeks. Honestly this is ridiculous and I'm close to l…
[5] ticket TKT-000653: Complaint: Hi, My monthly price increased a lot and I didn't change anything. Nothing changed in my usage. I've already checked the website. It has been happening for three days. My kids need it for school work. Let me know what …
[6] ticket TKT-000639: Complaint: Good morning, My bill suddenly went up this month without warning. I joined on a special offer last year. It has been happening since yesterday. Honestly this is ridiculous and I'm close to leaving. Cheers. Resolution:…
[7] kb article KB-0014: Bill increased after a promotional discount ended Applies to: billing_system. Typical symptoms: my bill suddenly went up this month without warning; my monthly price increased a lot and I didn't change anything. Cause: The introd…
[8] kb article KB-0013: Unrecognised third-party and premium SMS charges Applies to: billing_system, mobile_service. Typical symptoms: there are charges for premium text services I never signed up for; my phone bill has third-party subscription charges …</t>
        </is>
      </c>
      <c r="D35" s="6" t="inlineStr">
        <is>
          <t>1. Check the account for an expired promotional discount. [1][2][3][4][5][6][7]
2. Explain that the introductory offer has ended and the plan returned to the standard price. [1][2][3][4][5][6][7]
3. Offer the current retention deals or a cheaper plan that matches usage. [1][2][5][6][7]
4. Confirm the customer received the end-of-offer notification and note it on the account. [7]
5. If these steps do not resolve the issue, escalate to second-line support with the results of each step. [7]</t>
        </is>
      </c>
      <c r="E35" s="6" t="inlineStr">
        <is>
          <t>- Check the account for an expired promotional discount
- Explain that the introductory offer has ended and the plan returned to the standard price
- Offer the current retention deals or a cheaper plan that matches usage
- Confirm the customer received the end-of-offer notification and note it on the account</t>
        </is>
      </c>
      <c r="F35" s="7" t="n">
        <v>5</v>
      </c>
      <c r="G35" s="7" t="n">
        <v>5</v>
      </c>
      <c r="H35" s="7" t="n">
        <v>5</v>
      </c>
      <c r="I35" s="7" t="inlineStr">
        <is>
          <t>Yes</t>
        </is>
      </c>
      <c r="J35" s="7" t="inlineStr">
        <is>
          <t>RESOLVE</t>
        </is>
      </c>
      <c r="K35" s="7" t="inlineStr">
        <is>
          <t>[AI] All four reference steps plus escalation.</t>
        </is>
      </c>
    </row>
    <row r="36" ht="230" customHeight="1">
      <c r="A36" s="6" t="inlineStr">
        <is>
          <t>H34</t>
        </is>
      </c>
      <c r="B36" s="6" t="inlineStr">
        <is>
          <t>Hey, The same amount left my bank twice on the same day for my phone account. I'm now overdrawn. I've already called my bank. I work from home and keep missing client calls. I'm really fed up with this. Thanks.</t>
        </is>
      </c>
      <c r="C36" s="6" t="inlineStr">
        <is>
          <t>[1] ticket TKT-000529: Complaint: Hello, I have been charged twice for this month's bill. I've already checked my online account. It has been happening for three days. I work from home and keep missing client calls. Very frustrating, please sort it out…
[2] ticket TKT-000504: Complaint: I have been charged twice for this month's bill. Both transactions are the same amount. I've already checked my online account. It has been happening since Monday. I work from home and keep missing client calls. Very f…
[3] ticket TKT-000527: Complaint: Good morning, My bank statement shows two identical payments to you. Both transactions are the same amount. It's really disruptive. Let me know what to do. Resolution: Caller described handling duplicate payments and r…
[4] ticket TKT-000522: Complaint: Hi there, My bank statement shows two identical payments to you. It has been happening since yesterday. I run my business from home and this is costing me money. This is completely unacceptable. Regards. Resolution: Cu…
[5] ticket TKT-000509: Complaint: The monthly payment was taken two times from my account. I paid manually and the direct debit also went out. I've already checked my online account. It has been happening since last month. I work from home and keep mis…
[6] ticket TKT-000707: Complaint: A direct debit went out after I cancelled my contract. I have the cancellation confirmation email. I've already called the bank. It has been happening since yesterday. I can't watch anything in the evenings. I'm really…
[7] kb article KB-0012: Handling duplicate payments and refunds Applies to: billing_system. Typical symptoms: I have been charged twice for this month's bill; my bank statement shows two identical payments to you. Cause: A duplicate payment, usually a m…
[8] kb article KB-0036: Automatic payment failing Applies to: billing_system, account_portal. Typical symptoms: my automatic payment keeps failing; autopay was declined and now I have a late fee. Cause: Expired or replaced card details on file, or bank …</t>
        </is>
      </c>
      <c r="D36" s="6" t="inlineStr">
        <is>
          <t>1. Verify both transactions in the payments ledger and confirm they are for the same invoice [1][2][3][5][7]
2. Raise a refund for the duplicate payment to the original payment method [1][2][3][5][7]
3. Tell the customer refunds take 5-7 working days to appear [1][2][7]
4. Offer a goodwill credit if the customer incurred bank charges [1][2][7]</t>
        </is>
      </c>
      <c r="E36" s="6" t="inlineStr">
        <is>
          <t>- Verify both transactions in the payments ledger and confirm they are for the same invoice
- Raise a refund for the duplicate payment to the original payment method
- Tell the customer refunds take 5-7 working days to appear
- Offer a goodwill credit if the customer incurred bank charges</t>
        </is>
      </c>
      <c r="F36" s="7" t="n">
        <v>5</v>
      </c>
      <c r="G36" s="7" t="n">
        <v>5</v>
      </c>
      <c r="H36" s="7" t="n">
        <v>5</v>
      </c>
      <c r="I36" s="7" t="inlineStr">
        <is>
          <t>Yes</t>
        </is>
      </c>
      <c r="J36" s="7" t="inlineStr">
        <is>
          <t>RESOLVE</t>
        </is>
      </c>
      <c r="K36" s="7" t="inlineStr">
        <is>
          <t>[AI] Matches the reference.</t>
        </is>
      </c>
    </row>
    <row r="37" ht="230" customHeight="1">
      <c r="A37" s="6" t="inlineStr">
        <is>
          <t>H35</t>
        </is>
      </c>
      <c r="B37" s="6" t="inlineStr">
        <is>
          <t>Mysterious weekly fees from an outside provider are appearing on my statement. I've already replied STOP to the texts. It has been happening since Monday. I can't watch anything in the evenings. Very frustrating, please sort it out. Regards.</t>
        </is>
      </c>
      <c r="C37" s="6" t="inlineStr">
        <is>
          <t>[1] ticket TKT-000601: Complaint: Hey, My phone bill has third-party subscription charges I don't recognise. I've already replied STOP to the texts. I can't watch anything in the evenings. Thank you, your support has been great before. Thanks. Resoluti…
[2] ticket TKT-000555: Complaint: Hi there, I'm being charged weekly for some SMS service I didn't order. It's been going on for three months. I can't watch anything in the evenings. Please advise. Regards. Resolution: Customer reported unrecognised th…
[3] ticket TKT-000576: Complaint: Good morning, I'm being charged weekly for some SMS service I didn't order. I've already searched the company name. It has been happening since Monday. It's really disruptive. Very frustrating, please sort it out. Rega…
[4] ticket TKT-000585: Complaint: To whom it may concern, I'm being charged weekly for some SMS service I didn't order. My child uses the phone. I've already checked my bill online. It has been happening for three days. It's really disruptive. Let me k…
[5] ticket TKT-000571: Complaint: Hey, My mobile bill includes content charges from a company I've never heard of. It has been happening since last month. I can't watch anything in the evenings. Very frustrating, please sort it out. Cheers. Resolution:…
[6] ticket TKT-000567: Complaint: Hey, I'm being charged weekly for some SMS service I didn't order. It's been going on for three months. It has been happening since yesterday. Very frustrating, please sort it out. Cheers. Resolution: Ticket raised for…
[7] kb article KB-0015: Charged after cancelling a service Applies to: billing_system. Typical symptoms: I cancelled my service last month but you're still billing me; I'm still being charged even though I closed my account. Cause: The cancellation was …
[8] kb article KB-0013: Unrecognised third-party and premium SMS charges Applies to: billing_system, mobile_service. Typical symptoms: there are charges for premium text services I never signed up for; my phone bill has third-party subscription charges …</t>
        </is>
      </c>
      <c r="D37" s="6" t="inlineStr">
        <is>
          <t>1. Identify the third-party service and its start date from the billing detail [1][4][5][6][8]
2. Cancel the subscription and apply a premium services bar on the line [1][2][4][5][6][8]
3. Raise a refund request for the disputed third-party charges [2][3][8]
4. Advise the customer to enable spending controls for children's phones [2][3][8]</t>
        </is>
      </c>
      <c r="E37" s="6" t="inlineStr">
        <is>
          <t>- Identify the third-party service and its start date from the billing detail
- Cancel the subscription and apply a premium services bar on the line
- Raise a refund request for the disputed third-party charges
- Advise the customer to enable spending controls for children's phones</t>
        </is>
      </c>
      <c r="F37" s="7" t="n">
        <v>5</v>
      </c>
      <c r="G37" s="7" t="n">
        <v>5</v>
      </c>
      <c r="H37" s="7" t="n">
        <v>5</v>
      </c>
      <c r="I37" s="7" t="inlineStr">
        <is>
          <t>Yes</t>
        </is>
      </c>
      <c r="J37" s="7" t="inlineStr">
        <is>
          <t>RESOLVE</t>
        </is>
      </c>
      <c r="K37" s="7" t="inlineStr">
        <is>
          <t>[AI] Matches the reference.</t>
        </is>
      </c>
    </row>
    <row r="38" ht="230" customHeight="1">
      <c r="A38" s="6" t="inlineStr">
        <is>
          <t>H36</t>
        </is>
      </c>
      <c r="B38" s="6" t="inlineStr">
        <is>
          <t>Hi, The new tier I moved to costs more but my connection is exactly as before. Speed tests are identical. My kids need it for school work. This is completely unacceptable. Regards.</t>
        </is>
      </c>
      <c r="C38" s="6" t="inlineStr">
        <is>
          <t>[1] ticket TKT-001267: Complaint: Hello, I'm paying for the faster plan now but still getting my old speed. I've already restarted the laptop. My kids need it for school work. Honestly this is ridiculous and I'm close to leaving. Regards. Resolution: I…
[2] ticket TKT-001273: Complaint: Good morning, I'm paying for the faster plan now but still getting my old speed. I've already used a cable. Let me know what to do. Resolution: Ticket raised for speed upgrade not applied. Root cause: New speed profile…
[3] ticket TKT-001299: Complaint: Hi there, I'm paying for the faster plan now but still getting my old speed. It has been happening since Monday. Very frustrating, please sort it out. Regards. Resolution: Ticket raised for speed upgrade not applied. W…
[4] ticket TKT-001276: Complaint: Hi, I'm paying for the faster plan now but still getting my old speed. The upgrade was three days ago. I've already ran speed tests. Very frustrating, please sort it out. Resolution: Investigated speed upgrade not appl…
[5] ticket TKT-001272: Complaint: Hi, The upgrade went through on my bill but the line speed is the same. It has been happening for two weeks. It's really disruptive. This is completely unacceptable. Resolution: Customer reported speed upgrade not appl…
[6] ticket TKT-001268: Complaint: I'm paying for the faster plan now but still getting my old speed. The upgrade was three days ago. I've already ran speed tests. It's really disruptive. Let me know what to do. Thanks. Resolution: Caller described spee…
[7] kb article KB-0026: Speed upgrade not applied Applies to: broadband. Typical symptoms: I upgraded my broadband package but the speed hasn't changed; I'm paying for the faster plan now but still getting my old speed. Cause: New speed profile not yet …
[8] kb article KB-0008: Fibre speed stuck at 100 Mbps: checking cables and router ports Applies to: fiber, router. Typical symptoms: I pay for 500 Mbps fibre but only get about 90; my gigabit fiber never goes above 100 Mbps on speed tests. Cause: A bott…</t>
        </is>
      </c>
      <c r="D38" s="6" t="inlineStr">
        <is>
          <t>1. Confirm the upgrade order is complete and the new speed profile is applied to the line. [1][2][3][4][5][6][7]
2. Ask the customer to restart the router so the line re-syncs at the new profile. [1][2][3][4][5][6][7]
3. Run a line check to confirm the synced speed. [1][4][6][7]
4. If the profile is not applied, escalate to provisioning. [1][7]
5. If the issue persists after the above steps, escalate to second-line support with the results of each step. [7]</t>
        </is>
      </c>
      <c r="E38" s="6" t="inlineStr">
        <is>
          <t>- Confirm the upgrade order is complete and the new speed profile is applied
- Ask the customer to restart the router so the line re-syncs at the new profile
- Run a line check to confirm the synced speed
- If the profile is not applied, escalate to provisioning</t>
        </is>
      </c>
      <c r="F38" s="7" t="n">
        <v>5</v>
      </c>
      <c r="G38" s="7" t="n">
        <v>5</v>
      </c>
      <c r="H38" s="7" t="n">
        <v>5</v>
      </c>
      <c r="I38" s="7" t="inlineStr">
        <is>
          <t>Yes</t>
        </is>
      </c>
      <c r="J38" s="7" t="inlineStr">
        <is>
          <t>RESOLVE</t>
        </is>
      </c>
      <c r="K38" s="7" t="inlineStr">
        <is>
          <t>[AI] All four reference steps plus escalation.</t>
        </is>
      </c>
    </row>
    <row r="39" ht="230" customHeight="1">
      <c r="A39" s="6" t="inlineStr">
        <is>
          <t>H37</t>
        </is>
      </c>
      <c r="B39" s="6" t="inlineStr">
        <is>
          <t>Some unknown games subscription keeps getting added to my phone account. I received strange texts. I've already searched the company name. What are my options? Cheers.</t>
        </is>
      </c>
      <c r="C39" s="6" t="inlineStr">
        <is>
          <t>[1] ticket TKT-000577: Complaint: Hi, My phone bill has third-party subscription charges I don't recognise. My child uses the phone. I've already searched the company name. What are my options? Cheers. Resolution: Ticket raised for unrecognised third-p…
[2] ticket TKT-000550: Complaint: My mobile bill includes content charges from a company I've never heard of. My child uses the phone. I've already checked my bill online. What are my options? Resolution: Customer reported unrecognised third-party and …
[3] ticket TKT-000572: Complaint: My phone bill has third-party subscription charges I don't recognise. My child uses the phone. I've already searched the company name. I run my business from home and this is costing me money. I'm really fed up with th…
[4] ticket TKT-000603: Complaint: Hello, My mobile bill includes content charges from a company I've never heard of. I've already searched the company name. It has been happening since last month. I run my business from home and this is costing me mone…
[5] ticket TKT-000592: Complaint: Hi, My phone bill has third-party subscription charges I don't recognise. It's been going on for three months. I've already replied STOP to the texts. It has been happening since last month. Thanks in advance, you've a…
[6] ticket TKT-000549: Complaint: My phone bill has third-party subscription charges I don't recognise. I've already searched the company name. I'm really fed up with this. Cheers. Resolution: Caller described unrecognised third-party and premium sms c…
[7] kb article KB-0013: Unrecognised third-party and premium SMS charges Applies to: billing_system, mobile_service. Typical symptoms: there are charges for premium text services I never signed up for; my phone bill has third-party subscription charges …
[8] kb article KB-0015: Charged after cancelling a service Applies to: billing_system. Typical symptoms: I cancelled my service last month but you're still billing me; I'm still being charged even though I closed my account. Cause: The cancellation was …</t>
        </is>
      </c>
      <c r="D39" s="6" t="inlineStr">
        <is>
          <t>1. Identify the third-party service and its start date from the billing detail. [1][2][3][4][5][6][7]
2. Cancel the subscription and apply a premium services bar on the line. [1][2][3][4][5][6][7]
3. Raise a refund request for the disputed third-party charges. [1][3][6][7]
4. Advise the customer to enable spending controls for children's phones. [7]
5. If the issue is not resolved, escalate to second-line support with the results of each step. [7]</t>
        </is>
      </c>
      <c r="E39" s="6" t="inlineStr">
        <is>
          <t>- Identify the third-party service and its start date from the billing detail
- Cancel the subscription and apply a premium services bar on the line
- Raise a refund request for the disputed third-party charges
- Advise the customer to enable spending controls for children's phones</t>
        </is>
      </c>
      <c r="F39" s="7" t="n">
        <v>5</v>
      </c>
      <c r="G39" s="7" t="n">
        <v>5</v>
      </c>
      <c r="H39" s="7" t="n">
        <v>5</v>
      </c>
      <c r="I39" s="7" t="inlineStr">
        <is>
          <t>Yes</t>
        </is>
      </c>
      <c r="J39" s="7" t="inlineStr">
        <is>
          <t>RESOLVE</t>
        </is>
      </c>
      <c r="K39" s="7" t="inlineStr">
        <is>
          <t>[AI] All four reference steps plus escalation.</t>
        </is>
      </c>
    </row>
    <row r="40" ht="230" customHeight="1">
      <c r="A40" s="6" t="inlineStr">
        <is>
          <t>H38</t>
        </is>
      </c>
      <c r="B40" s="6" t="inlineStr">
        <is>
          <t>To whom it may concern, Indoors the bars on my handset vanish and people can't reach me. My partner's phone on another network works. Let me know what to do. Regards.</t>
        </is>
      </c>
      <c r="C40" s="6" t="inlineStr">
        <is>
          <t>[1] ticket TKT-000123: Complaint: Hey, Calls drop as soon as I walk indoors and the phone shows one bar. The house has thick stone walls. I've already removed the case. Please advise. Regards. Resolution: Investigated poor indoor mobile coverage and wi…
[2] ticket TKT-000182: Complaint: Good morning, Calls drop as soon as I walk indoors and the phone shows one bar. Let me know what to do. Regards. Resolution: Caller described poor indoor mobile coverage and wi-fi calling. Root cause: Weak indoor cover…
[3] ticket TKT-000144: Complaint: Good morning, Calls drop as soon as I walk indoors and the phone shows one bar. We recently moved. I've already toggled airplane mode. Appreciate your help as always! Resolution: Customer did not respond to follow-up. …
[4] ticket TKT-000127: Complaint: Good morning, Calls drop as soon as I walk indoors and the phone shows one bar. The house has thick stone walls. I've already removed the case. I can't watch anything in the evenings. Please advise. Resolution: Investi…
[5] ticket TKT-000151: Complaint: Calls drop as soon as I walk indoors and the phone shows one bar. We recently moved. I've already restarted the phone. It has been happening for three days. It's really disruptive. Can you look into it? Resolution: Cal…
[6] ticket TKT-000138: Complaint: Hello, Calls drop as soon as I walk indoors and the phone shows one bar. The house has thick stone walls. It has been happening since Monday. We take card payments through this connection and the shop can't trade. Hone…
[7] kb article KB-0004: Poor indoor mobile coverage and Wi-Fi Calling Applies to: mobile_service. Typical symptoms: I have no mobile signal inside my house; calls drop as soon as I walk indoors and the phone shows one bar. Cause: Weak indoor coverage du…
[8] kb article KB-0038: Mobile mast outage in the area Applies to: mobile_service. Typical symptoms: there's no mobile service anywhere in town today; my phone and everyone else's has no signal in this area. Cause: Mobile mast (cell site) outage or main…</t>
        </is>
      </c>
      <c r="D40" s="6" t="inlineStr">
        <is>
          <t>1. Check the coverage map for the customer's address to confirm if weak indoor coverage is due to building materials or distance from the mast. [1][2][4][5][6][7]
2. Enable Wi-Fi Calling on the handset so calls route over home broadband. [1][2][4][5][6][7]
3. Make sure the phone software and carrier settings are up to date. [1][2][4][7]
4. If Wi-Fi Calling is not possible, offer an indoor signal booster or femtocell. [2][7]</t>
        </is>
      </c>
      <c r="E40" s="6" t="inlineStr">
        <is>
          <t>- Check the coverage map for the customer's address
- Enable Wi-Fi Calling on the handset so calls route over home broadband
- Make sure the phone software and carrier settings are up to date
- Offer an indoor signal booster or femtocell if Wi-Fi Calling is not possible</t>
        </is>
      </c>
      <c r="F40" s="7" t="n">
        <v>5</v>
      </c>
      <c r="G40" s="7" t="n">
        <v>5</v>
      </c>
      <c r="H40" s="7" t="n">
        <v>5</v>
      </c>
      <c r="I40" s="7" t="inlineStr">
        <is>
          <t>Yes</t>
        </is>
      </c>
      <c r="J40" s="7" t="inlineStr">
        <is>
          <t>RESOLVE</t>
        </is>
      </c>
      <c r="K40" s="7" t="inlineStr">
        <is>
          <t>[AI] Matches the reference.</t>
        </is>
      </c>
    </row>
    <row r="41" ht="230" customHeight="1">
      <c r="A41" s="6" t="inlineStr">
        <is>
          <t>H39</t>
        </is>
      </c>
      <c r="B41" s="6" t="inlineStr">
        <is>
          <t>Hi there, Messages sit in the outbox and never go out from my provider mailbox. Receiving works. I've already removed and re-added the account. It has been happening since yesterday. I work from home and keep missing client calls. Thank you, your support has been great before. Regards.</t>
        </is>
      </c>
      <c r="C41" s="6" t="inlineStr">
        <is>
          <t>[1] ticket TKT-001540: Complaint: My voicemail isn't working and callers can't leave messages. I've already called the voicemail number. It has been happening for three days. I run my business from home and this is costing me money. Thank you, your sup…
[2] ticket TKT-001536: Complaint: My voicemail isn't working and callers can't leave messages. Honestly this is ridiculous and I'm close to leaving. Cheers. Resolution: Caller described setting up voicemail. Root cause: Voicemail not activated, call di…
[3] ticket TKT-001425: Complaint: Good morning, My email stopped sending from my mail app. I've already removed and re-added the account. Very frustrating, please sort it out. Regards. Resolution: Customer did not respond to follow-up. Closed without c…
[4] ticket TKT-001416: Complaint: My email stopped sending from my mail app. I've already removed and re-added the account. It has been happening since last month. Let me know what to do. Cheers. Resolution: Ticket raised for email client settings (ima…
[5] ticket TKT-001408: Complaint: Hello, My email stopped sending from my mail app. Honestly this is ridiculous and I'm close to leaving. Thanks. Resolution: Caller described email client settings (imap/smtp). Use IMAP server mail.example-telco.com on …
[6] ticket TKT-001387: Complaint: Hey, My email stopped sending from my mail app. I've already re-entered my password. Honestly this is ridiculous and I'm close to leaving. Cheers. Resolution: Caller described email client settings (imap/smtp). Walked …
[7] kb article KB-0031: Setting up voicemail Applies to: mobile_service. Typical symptoms: I can't set up my voicemail; my voicemail isn't working and callers can't leave messages. Cause: Voicemail not activated, call diversion not set, or PIN unknown. …
[8] kb article KB-0029: Email client settings (IMAP/SMTP) Applies to: email_service. Typical symptoms: I can't set up my email account in Outlook; my email stopped sending from my mail app. Cause: Incorrect IMAP/SMTP server settings, port or authenticat…</t>
        </is>
      </c>
      <c r="D41" s="6" t="inlineStr">
        <is>
          <t>1. Verify that the email client is configured with the correct IMAP server settings: mail.example-telco.com on port 993 with SSL enabled. [4][5][8]
2. Verify that the email client is configured with the correct SMTP server settings: smtp.example-telco.com on port 587 with STARTTLS and authentication enabled. [4][5][6][8]
3. If authentication continues to fail, instruct the customer to reset their email password from the account portal. [4][5][6][8]
4. If the issue persists after verifying settings and resetting the password, escalate the ticket to second-line support with the results of each step. [8]</t>
        </is>
      </c>
      <c r="E41" s="6" t="inlineStr">
        <is>
          <t>- Use IMAP server mail.example-telco.com on port 993 with SSL
- Use SMTP server smtp.example-telco.com on port 587 with STARTTLS and authentication enabled
- Reset the email password from the account portal if authentication keeps failing</t>
        </is>
      </c>
      <c r="F41" s="7" t="n">
        <v>5</v>
      </c>
      <c r="G41" s="7" t="n">
        <v>5</v>
      </c>
      <c r="H41" s="7" t="n">
        <v>5</v>
      </c>
      <c r="I41" s="7" t="inlineStr">
        <is>
          <t>Yes</t>
        </is>
      </c>
      <c r="J41" s="7" t="inlineStr">
        <is>
          <t>RESOLVE</t>
        </is>
      </c>
      <c r="K41" s="7" t="inlineStr">
        <is>
          <t>[AI] All three reference steps plus escalation.</t>
        </is>
      </c>
    </row>
    <row r="42" ht="230" customHeight="1">
      <c r="A42" s="6" t="inlineStr">
        <is>
          <t>H40</t>
        </is>
      </c>
      <c r="B42" s="6" t="inlineStr">
        <is>
          <t>Hi there, The speed I'm billed for is five times what my computer actually measures. Speed is the same on every device. I've already tested at night and day. It has been happening for three days. My kids need it for school work. Honestly this is ridiculous and I'm close to leaving. Cheers.</t>
        </is>
      </c>
      <c r="C42" s="6" t="inlineStr">
        <is>
          <t>[1] ticket TKT-000290: Complaint: Speed tests show a fraction of my plan speed in the evenings. I've already restarted the router. It has been happening for about a week. My kids need it for school work. Please advise. Resolution: Caller described slow…
[2] ticket TKT-000302: Complaint: Hi there, Speed tests show a fraction of my plan speed in the evenings. The whole street seems affected. I've already restarted the router. It has been happening for about a week. This is completely unacceptable. Thank…
[3] ticket TKT-000347: Complaint: I pay for 500 Mbps fibre but only get about 90. The ethernet cable is quite old. I've already tested at night and day. My kids need it for school work. Let me know what to do. Resolution: Customer reported fibre speed …
[4] ticket TKT-000304: Complaint: Speed tests show a fraction of my plan speed in the evenings. Wired speed tests are slow too. I run my business from home and this is costing me money. Honestly this is ridiculous and I'm close to leaving. Thanks. Reso…
[5] ticket TKT-000287: Complaint: Speed tests show a fraction of my plan speed in the evenings. I've already disconnected other devices. It has been happening for two weeks. We take card payments through this connection and the shop can't trade. Can yo…
[6] ticket TKT-000343: Complaint: Hey, I pay for 500 Mbps fibre but only get about 90. I've already tested at night and day. I run my business from home and this is costing me money. Honestly this is ridiculous and I'm close to leaving. Cheers. Resolut…
[7] kb article KB-0007: Slow broadband at peak evening hours Applies to: broadband. Typical symptoms: my broadband gets very slow every evening between evening and 11; internet speed drops massively at peak times in the evening. Cause: Network congestio…
[8] kb article KB-0026: Speed upgrade not applied Applies to: broadband. Typical symptoms: I upgraded my broadband package but the speed hasn't changed; I'm paying for the faster plan now but still getting my old speed. Cause: New speed profile not yet …</t>
        </is>
      </c>
      <c r="D42" s="6" t="inlineStr">
        <is>
          <t>1. Run a wired speed test at peak and off-peak times to confirm the slowdown is network-side. [1][2][4][5][7]
2. Check the network capacity dashboard for congestion on the customer's cabinet. [1][2][4][5][7]
3. Raise a congestion ticket with the network team if utilisation is above threshold. [1][2][4][5][7]
4. Enable QoS on the router to prioritise video calls during peak hours. [4][5][7]
5. Check the negotiated link speed on the computer's network adapter (100 Mbps vs 1 Gbps). [3][6]
6. Replace old Cat5 ethernet cables with Cat5e or Cat6. [3][6]</t>
        </is>
      </c>
      <c r="E42" s="6" t="inlineStr">
        <is>
          <t>- Check the negotiated link speed on the computer's network adapter (100 Mbps vs 1 Gbps)
- Replace old Cat5 ethernet cables with Cat5e or Cat6
- Confirm the router has gigabit WAN and LAN ports; replace it with the supported fibre router if not
- Re-run a wired speed test directly from the ONT or router</t>
        </is>
      </c>
      <c r="F42" s="7" t="n">
        <v>3</v>
      </c>
      <c r="G42" s="7" t="n">
        <v>3</v>
      </c>
      <c r="H42" s="7" t="n">
        <v>3</v>
      </c>
      <c r="I42" s="7" t="inlineStr">
        <is>
          <t>No</t>
        </is>
      </c>
      <c r="J42" s="7" t="inlineStr">
        <is>
          <t>REVIEW</t>
        </is>
      </c>
      <c r="K42" s="7" t="inlineStr">
        <is>
          <t>[AI] Steps 5-6 match half the reference (link speed, cable), but steps 1-4 are evening-congestion steps although the customer says speed is low day and night; the gigabit-router check is missing.</t>
        </is>
      </c>
    </row>
    <row r="43" ht="230" customHeight="1">
      <c r="A43" s="6" t="inlineStr">
        <is>
          <t>H41</t>
        </is>
      </c>
      <c r="B43" s="6" t="inlineStr">
        <is>
          <t>To whom it may concern, A penalty for leaving the contract early was applied even though I relocated. I've already checked the contract. It has been happening since last month. It's really disruptive. I'm really fed up with this. Thanks.</t>
        </is>
      </c>
      <c r="C43" s="6" t="inlineStr">
        <is>
          <t>[1] ticket TKT-000753: Complaint: I was charged an early termination fee because I moved house. I've already checked the contract. It has been happening for two weeks. I'm really fed up with this. Cheers. Resolution: Caller described early termination …
[2] ticket TKT-000766: Complaint: To whom it may concern, I was charged an early termination fee because I moved house. I've already checked the contract. It has been happening for two weeks. This is completely unacceptable. Resolution: Customer report…
[3] ticket TKT-000741: Complaint: I was charged an early termination fee because I moved house. The new address has no coverage. I've already read the terms. It has been happening for about a week. I'm really fed up with this. Resolution: Investigated …
[4] ticket TKT-000745: Complaint: Hi, An exit fee appeared on my final bill after relocating. The new address has no coverage. I've already checked the contract. I can't watch anything in the evenings. I'm really fed up with this. Thanks. Resolution: I…
[5] ticket TKT-000743: Complaint: I was charged an early termination fee because I moved house. I was offered no alternative. I've already read the terms. I'm really fed up with this. Thanks. Resolution: Ticket raised for early termination fees when mo…
[6] ticket TKT-000746: Complaint: To whom it may concern, I was charged an early termination fee because I moved house. It has been happening for about a week. I run my business from home and this is costing me money. I'm really fed up with this. Resol…
[7] kb article KB-0016: Early termination fees when moving home Applies to: billing_system, broadband. Typical symptoms: I was charged an early termination fee because I moved house; you billed me a cancellation fee when I moved to an area you don't cov…
[8] kb article KB-0015: Charged after cancelling a service Applies to: billing_system. Typical symptoms: I cancelled my service last month but you're still billing me; I'm still being charged even though I closed my account. Cause: The cancellation was …</t>
        </is>
      </c>
      <c r="D43" s="6" t="inlineStr">
        <is>
          <t>1. Check whether the service is available at the customer's new address. [1][2][3][4][5][6][7]
2. If the service is unavailable at the new address, waive the early termination fee under the home-move policy. [1][2][3][4][5][6][7]
3. If the service is available at the new address, offer to transfer the contract to the new address instead. [2][3][5][6][7]
4. Issue a corrected final bill. [2][5][7]
5. If the issue is not resolved by the above steps, escalate to second-line support with the results of each step. [7]</t>
        </is>
      </c>
      <c r="E43" s="6" t="inlineStr">
        <is>
          <t>- Check whether the service is available at the customer's new address
- If service is unavailable at the new address, waive the early termination fee under the home-move policy
- If service is available, offer to transfer the contract to the new address instead
- Issue a corrected final bill</t>
        </is>
      </c>
      <c r="F43" s="7" t="n">
        <v>5</v>
      </c>
      <c r="G43" s="7" t="n">
        <v>5</v>
      </c>
      <c r="H43" s="7" t="n">
        <v>5</v>
      </c>
      <c r="I43" s="7" t="inlineStr">
        <is>
          <t>Yes</t>
        </is>
      </c>
      <c r="J43" s="7" t="inlineStr">
        <is>
          <t>RESOLVE</t>
        </is>
      </c>
      <c r="K43" s="7" t="inlineStr">
        <is>
          <t>[AI] All four reference steps plus escalation.</t>
        </is>
      </c>
    </row>
    <row r="44" ht="230" customHeight="1">
      <c r="A44" s="6" t="inlineStr">
        <is>
          <t>H42</t>
        </is>
      </c>
      <c r="B44" s="6" t="inlineStr">
        <is>
          <t>To whom it may concern, I paid for the faster next-gen tier on my mobile yet the line never received it. I've already reset network settings. I run my business from home and this is costing me money. Very frustrating, please sort it out.</t>
        </is>
      </c>
      <c r="C44" s="6" t="inlineStr">
        <is>
          <t>[1] ticket TKT-001303: Complaint: To whom it may concern, I'm paying for the faster plan now but still getting my old speed. I got a confirmation email. I've already used a cable. Very frustrating, please sort it out. Resolution: Caller described speed…
[2] ticket TKT-001267: Complaint: Hello, I'm paying for the faster plan now but still getting my old speed. I've already restarted the laptop. My kids need it for school work. Honestly this is ridiculous and I'm close to leaving. Regards. Resolution: I…
[3] ticket TKT-001273: Complaint: Good morning, I'm paying for the faster plan now but still getting my old speed. I've already used a cable. Let me know what to do. Resolution: Ticket raised for speed upgrade not applied. Root cause: New speed profile…
[4] ticket TKT-001299: Complaint: Hi there, I'm paying for the faster plan now but still getting my old speed. It has been happening since Monday. Very frustrating, please sort it out. Regards. Resolution: Ticket raised for speed upgrade not applied. W…
[5] ticket TKT-001295: Complaint: Good morning, I'm paying for the faster plan now but still getting my old speed. I got a confirmation email. It's really disruptive. Very frustrating, please sort it out. Regards. Resolution: Ticket raised for speed up…
[6] ticket TKT-001290: Complaint: Hello, The upgrade went through on my bill but the line speed is the same. I got a confirmation email. I've already restarted the laptop. It has been happening for three days. My kids need it for school work. What are …
[7] kb article KB-0026: Speed upgrade not applied Applies to: broadband. Typical symptoms: I upgraded my broadband package but the speed hasn't changed; I'm paying for the faster plan now but still getting my old speed. Cause: New speed profile not yet …
[8] kb article KB-0010: Mobile data slowed after reaching the usage allowance Applies to: mobile_service. Typical symptoms: my mobile data became extremely slow halfway through the month; data speed dropped to almost nothing after I used a lot this mont…</t>
        </is>
      </c>
      <c r="D44" s="6" t="inlineStr">
        <is>
          <t>1. Confirm the upgrade order is complete and the new speed profile is applied to the line. [1][2][3][4][5][6][7]
2. Ask the customer to restart the router so the line re-syncs at the new profile. [1][2][3][4][5][6][7]
3. Run a line check to confirm the synced speed. [1][2][5][6][7]
4. If the profile is not applied, escalate to provisioning. [1][2][5][6][7]
5. If these steps do not resolve the issue, escalate to second-line support with the results of each step. [7]</t>
        </is>
      </c>
      <c r="E44" s="6" t="inlineStr">
        <is>
          <t>- Check that the 5G service flag is provisioned on the line
- Re-provision the 5G service if missing
- Ask the customer to restart the handset to refresh network registration</t>
        </is>
      </c>
      <c r="F44" s="7" t="n">
        <v>2</v>
      </c>
      <c r="G44" s="7" t="n">
        <v>2</v>
      </c>
      <c r="H44" s="7" t="n">
        <v>2</v>
      </c>
      <c r="I44" s="7" t="inlineStr">
        <is>
          <t>No</t>
        </is>
      </c>
      <c r="J44" s="7" t="inlineStr">
        <is>
          <t>ESCALATE</t>
        </is>
      </c>
      <c r="K44" s="7" t="inlineStr">
        <is>
          <t>[AI] Broadband speed-upgrade steps (router restart, line check) for a mobile 5G tier; escalating to provisioning is the right idea but the steps don't apply to a phone.</t>
        </is>
      </c>
    </row>
    <row r="45" ht="230" customHeight="1">
      <c r="A45" s="6" t="inlineStr">
        <is>
          <t>H43</t>
        </is>
      </c>
      <c r="B45" s="6" t="inlineStr">
        <is>
          <t>Hello, After dinner time the signal from the hub vanishes and comes back, wired desktop is unaffected. The router is next to the TV. My kids need it for school work. Thank you, your support has been great before.</t>
        </is>
      </c>
      <c r="C45" s="6" t="inlineStr">
        <is>
          <t>[1] ticket TKT-000776: Complaint: Hi, My hub restarts by itself and drops everyone off the internet. It sits on top of the set-top box. I've already factory reset it. I work from home and keep missing client calls. This is completely unacceptable. Chee…
[2] ticket TKT-000821: Complaint: Hi, My hub restarts by itself and drops everyone off the internet. It sits on top of the set-top box. I've already factory reset it. It has been happening for three days. My kids need it for school work. Honestly this …
[3] ticket TKT-000811: Complaint: My hub restarts by itself and drops everyone off the internet. It sits on top of the set-top box. It has been happening since yesterday. Honestly this is ridiculous and I'm close to leaving. Regards. Resolution: Ticket…
[4] ticket TKT-000822: Complaint: My hub restarts by itself and drops everyone off the internet. I've already factory reset it. It has been happening for three days. This is completely unacceptable. Regards. Resolution: Customer did not respond to foll…
[5] ticket TKT-000798: Complaint: My hub restarts by itself and drops everyone off the internet. It's in a closed cabinet. It has been happening for two weeks. Thank you, your support has been great before. Cheers. Resolution: Investigated router reboo…
[6] ticket TKT-000779: Complaint: My hub restarts by itself and drops everyone off the internet. It has been happening since last month. I can't watch anything in the evenings. Very frustrating, please sort it out. Regards. Resolution: Caller described…
[7] kb article KB-0017: Router rebooting on its own Applies to: router. Typical symptoms: my router keeps rebooting itself several times a day; the router randomly restarts and is very hot to touch. Cause: Overheating or a failing power supply causing s…
[8] kb article KB-0001: Fixing evening Wi-Fi dropouts caused by channel interference Applies to: router, broadband. Typical symptoms: my wifi keeps dropping out every evening around evening; the wireless connection cuts out repeatedly at night but the b…</t>
        </is>
      </c>
      <c r="D45" s="6" t="inlineStr">
        <is>
          <t>1. Confirm the drops only affect Wi-Fi by testing a device on an ethernet cable. [8]
2. Move the router away from the TV, microwave, and metal objects, and place it upright in a ventilated spot, not in a cabinet or on other electronics. [1][2][3][5][6][7][8]
3. Run the router's channel scan and move the 2.4 GHz radio to the least congested channel (1, 6, or 11). [8]
4. Enable the 5 GHz band and connect nearby devices to it. [8]
5. Check the router's event log for thermal or power-related restarts and update the router firmware to the latest version. [1][2][3][5][6][7][8]
6. If the issue continues, replace the router and power adapter, or escalate to second-line support with the results of each step. [1][2][6][7][8]</t>
        </is>
      </c>
      <c r="E45" s="6" t="inlineStr">
        <is>
          <t>- Confirm the drops only affect Wi-Fi by testing a device on an ethernet cable
- Run the router's channel scan and move the 2.4 GHz radio to the least congested channel (1, 6 or 11)
- Enable the 5 GHz band and connect nearby devices to it
- Move the router away from the TV, microwave and metal objects
- Update the router firmware to the latest version</t>
        </is>
      </c>
      <c r="F45" s="7" t="n">
        <v>5</v>
      </c>
      <c r="G45" s="7" t="n">
        <v>5</v>
      </c>
      <c r="H45" s="7" t="n">
        <v>4</v>
      </c>
      <c r="I45" s="7" t="inlineStr">
        <is>
          <t>Yes</t>
        </is>
      </c>
      <c r="J45" s="7" t="inlineStr">
        <is>
          <t>RESOLVE</t>
        </is>
      </c>
      <c r="K45" s="7" t="inlineStr">
        <is>
          <t>[AI] All five reference steps; mixes in router-reboot advice and suggests replacing the router as a fallback, which is premature for Wi-Fi interference.</t>
        </is>
      </c>
    </row>
    <row r="46" ht="230" customHeight="1">
      <c r="A46" s="6" t="inlineStr">
        <is>
          <t>H44</t>
        </is>
      </c>
      <c r="B46" s="6" t="inlineStr">
        <is>
          <t>I work night shifts and the home connection keeps vanishing after midnight. I've already restarted the router. I can't watch anything in the evenings. I'm really fed up with this. Cheers.</t>
        </is>
      </c>
      <c r="C46" s="6" t="inlineStr">
        <is>
          <t>[1] ticket TKT-000008: Complaint: Good morning, The wireless connection cuts out repeatedly at night but the broadband light on the router stays green. It is worse in the living room. I've already restarted the router twice. It has been happening since…
[2] ticket TKT-001997: Complaint: Hello, My internet goes off in the middle of the night for a few hours. I work night shifts. I've already restarted the router. My kids need it for school work. Thanks in advance, you've always been helpful. Cheers. Re…
[3] ticket TKT-000035: Complaint: The wireless connection cuts out repeatedly at night but the broadband light on the router stays green. It is worse in the living room. I've already turned wifi off and on. Please advise. Regards. Resolution: Caller de…
[4] ticket TKT-000034: Complaint: Hi, The wireless connection cuts out repeatedly at night but the broadband light on the router stays green. Lots of neighbours' networks show up in the wifi list. I've already moved my laptop closer. Honestly this is r…
[5] ticket TKT-000017: Complaint: Hello, The wireless connection cuts out repeatedly at night but the broadband light on the router stays green. Lots of neighbours' networks show up in the wifi list. I've already restarted the router twice. I'm really …
[6] ticket TKT-000019: Complaint: Good morning, The wireless connection cuts out repeatedly at night but the broadband light on the router stays green. It has been happening for about a week. I can't watch anything in the evenings. Appreciate your help…
[7] kb article KB-0001: Fixing evening Wi-Fi dropouts caused by channel interference Applies to: router, broadband. Typical symptoms: my wifi keeps dropping out every evening around evening; the wireless connection cuts out repeatedly at night but the b…
[8] kb article KB-0007: Slow broadband at peak evening hours Applies to: broadband. Typical symptoms: my broadband gets very slow every evening between evening and 11; internet speed drops massively at peak times in the evening. Cause: Network congestio…</t>
        </is>
      </c>
      <c r="D46" s="6" t="inlineStr">
        <is>
          <t>1. Confirm the drops only affect Wi-Fi by testing a device on an ethernet cable. [1][3][5][6][7]
2. Run the router's channel scan and move the 2.4 GHz radio to the least congested channel (1, 6 or 11). [1][3][4][5][6][7]
3. Enable the 5 GHz band and connect nearby devices to it. [3][4][5][6][7]
4. Move the router away from the TV, microwave and metal objects. [3][4][6][7]
5. Update the router firmware to the latest version. [3][4][7]
6. Check the planned maintenance schedule for the customer's exchange to confirm if the overnight outages are due to planned maintenance, and confirm the maintenance window and expected completion date. [2]</t>
        </is>
      </c>
      <c r="E46" s="6" t="inlineStr">
        <is>
          <t>- Check the planned maintenance schedule for the customer's exchange
- Confirm the maintenance window and expected completion date
- Sign the customer up for maintenance notifications</t>
        </is>
      </c>
      <c r="F46" s="7" t="n">
        <v>3</v>
      </c>
      <c r="G46" s="7" t="n">
        <v>3</v>
      </c>
      <c r="H46" s="7" t="n">
        <v>3</v>
      </c>
      <c r="I46" s="7" t="inlineStr">
        <is>
          <t>No</t>
        </is>
      </c>
      <c r="J46" s="7" t="inlineStr">
        <is>
          <t>REVIEW</t>
        </is>
      </c>
      <c r="K46" s="7" t="inlineStr">
        <is>
          <t>[AI] Steps 1-5 treat it as Wi-Fi interference; only step 6 (maintenance schedule and window) matches the reference, and the notification sign-up is missing.</t>
        </is>
      </c>
    </row>
    <row r="47" ht="230" customHeight="1">
      <c r="A47" s="6" t="inlineStr">
        <is>
          <t>H45</t>
        </is>
      </c>
      <c r="B47" s="6" t="inlineStr">
        <is>
          <t>Online games work but typing any web address just spins and fails. I've already tried another browser. This is completely unacceptable. Thanks.</t>
        </is>
      </c>
      <c r="C47" s="6" t="inlineStr">
        <is>
          <t>[1] kb article KB-0006: Connected but no websites load (DNS errors) Applies to: broadband. Typical symptoms: my internet shows connected but websites won't load; I can't browse any sites although the router says it is online. Cause: DNS resolution failu…
[2] ticket TKT-000233: Complaint: Hello, I can't browse any sites although the router says it is online. It happens on all devices. I've already cleared the browser cache. My kids need it for school work. Please advise. Thanks. Resolution: Customer rep…
[3] ticket TKT-000248: Complaint: Hi, I can't browse any sites although the router says it is online. I've already tried another browser. I'm really fed up with this. Resolution: Ticket raised for connected but no websites load (dns errors). Root cause…
[4] ticket TKT-000279: Complaint: Hello, The browser says server not found on every website even though wifi is connected. The error says DNS_PROBE_FINISHED. We take card payments through this connection and the shop can't trade. Very frustrating, plea…
[5] ticket TKT-000222: Complaint: Pages time out with DNS errors but apps like WhatsApp still work. The error says DNS_PROBE_FINISHED. I've already cleared the browser cache. It has been happening for two weeks. I'm really fed up with this. Thanks. Res…
[6] ticket TKT-000232: Complaint: Hi there, My internet shows connected but websites won't load. The error says DNS_PROBE_FINISHED. I've already cleared the browser cache. It has been happening since Monday. I'm really fed up with this. Resolution: Cus…
[7] ticket TKT-000245: Complaint: To whom it may concern, The browser says server not found on every website even though wifi is connected. I've already tried another browser. Please advise. Regards. Resolution: Caller described connected but no websit…
[8] kb article KB-0030: Strict NAT and port forwarding for gaming Applies to: router. Typical symptoms: my console says NAT type strict and I can't join online games; I need to open ports on my router for gaming. Cause: Router NAT restricts inbound conn…</t>
        </is>
      </c>
      <c r="D47" s="6" t="inlineStr">
        <is>
          <t>1. Confirm the issue is DNS by pinging an IP address such as 8.8.8.8. [1][2][3][5][7]
2. Flush the DNS cache on the device (ipconfig /flushdns on Windows). [1][2][3][5][7]
3. Set the router's DNS servers to automatic, or to a public resolver such as 1.1.1.1 and 8.8.8.8. [1]
4. Restart the router after changing DNS settings. [1]
5. If these steps do not resolve the issue, escalate to second-line support with the results of each step. [1]</t>
        </is>
      </c>
      <c r="E47" s="6" t="inlineStr">
        <is>
          <t>- Confirm the issue is DNS by pinging an IP address such as 8.8.8.8
- Flush the DNS cache on the device (ipconfig /flushdns on Windows)
- Set the router's DNS servers to automatic, or to a public resolver such as 1.1.1.1 and 8.8.8.8
- Restart the router after changing DNS settings</t>
        </is>
      </c>
      <c r="F47" s="7" t="n">
        <v>5</v>
      </c>
      <c r="G47" s="7" t="n">
        <v>5</v>
      </c>
      <c r="H47" s="7" t="n">
        <v>5</v>
      </c>
      <c r="I47" s="7" t="inlineStr">
        <is>
          <t>Yes</t>
        </is>
      </c>
      <c r="J47" s="7" t="inlineStr">
        <is>
          <t>RESOLVE</t>
        </is>
      </c>
      <c r="K47" s="7" t="inlineStr">
        <is>
          <t>[AI] All four reference steps plus escalation.</t>
        </is>
      </c>
    </row>
    <row r="48" ht="230" customHeight="1">
      <c r="A48" s="6" t="inlineStr">
        <is>
          <t>H46</t>
        </is>
      </c>
      <c r="B48" s="6" t="inlineStr">
        <is>
          <t>My CCTV remote viewing breaks because my public address keeps changing. I've already used dynamic DNS. My kids need it for school work. This is completely unacceptable. Thanks.</t>
        </is>
      </c>
      <c r="C48" s="6" t="inlineStr">
        <is>
          <t>[1] ticket TKT-001587: Complaint: My IP address keeps changing and I need it to stay the same. I use a VPN. I've already used dynamic DNS. What are my options? Thanks. Resolution: Caller described requesting a static ip address. Root cause: Dynamic pub…
[2] ticket TKT-001589: Complaint: My IP address keeps changing and I need it to stay the same. I use a VPN. This is completely unacceptable. Thanks. Resolution: Caller described requesting a static ip address. Root cause: Dynamic public IP allocation; …
[3] ticket TKT-001611: Complaint: My IP address keeps changing and I need it to stay the same. I use a VPN. It has been happening for two weeks. I can't watch anything in the evenings. Please advise. Regards. Resolution: Ticket raised for requesting a …
[4] ticket TKT-001622: Complaint: My IP address keeps changing and I need it to stay the same. I run a small business from home. I've already used dynamic DNS. It has been happening since yesterday. Please advise. Resolution: Ticket raised for requesti…
[5] ticket TKT-001620: Complaint: To whom it may concern, My IP address keeps changing and I need it to stay the same. This is completely unacceptable. Thanks. Resolution: Customer reported requesting a static ip address. Root cause: Dynamic public IP …
[6] ticket TKT-001601: Complaint: To whom it may concern, My IP address keeps changing and I need it to stay the same. I've already used dynamic DNS. What are my options? Cheers. Resolution: Caller described requesting a static ip address. Explain the …
[7] kb article KB-0032: Requesting a static IP address Applies to: broadband. Typical symptoms: I need a static IP address for my home server; can I get a fixed IP on my broadband. Cause: Dynamic public IP allocation; static IP is an add-on. Resolution …
[8] kb article KB-0030: Strict NAT and port forwarding for gaming Applies to: router. Typical symptoms: my console says NAT type strict and I can't join online games; I need to open ports on my router for gaming. Cause: Router NAT restricts inbound conn…</t>
        </is>
      </c>
      <c r="D48" s="6" t="inlineStr">
        <is>
          <t>1. Explain the difference between dynamic and static IP addresses to the customer. [1][4][5][6][7]
2. Add the static IP add-on to the customer's account. [1][4][5][6][7]
3. Ask the customer to restart the router to receive the static IP. [1][2][3][5][6][7]
4. Suggest dynamic DNS as a free alternative for managing the changing IP address. [1][2][3][5][7]</t>
        </is>
      </c>
      <c r="E48" s="6" t="inlineStr">
        <is>
          <t>- Explain the difference between dynamic and static IP addresses
- Add the static IP add-on to the account
- Ask the customer to restart the router to receive the static IP
- Suggest dynamic DNS as a free alternative</t>
        </is>
      </c>
      <c r="F48" s="7" t="n">
        <v>5</v>
      </c>
      <c r="G48" s="7" t="n">
        <v>5</v>
      </c>
      <c r="H48" s="7" t="n">
        <v>4</v>
      </c>
      <c r="I48" s="7" t="inlineStr">
        <is>
          <t>Yes</t>
        </is>
      </c>
      <c r="J48" s="7" t="inlineStr">
        <is>
          <t>RESOLVE</t>
        </is>
      </c>
      <c r="K48" s="7" t="inlineStr">
        <is>
          <t>[AI] All reference steps; step 4 suggests dynamic DNS, which the customer says they already use.</t>
        </is>
      </c>
    </row>
    <row r="49" ht="230" customHeight="1">
      <c r="A49" s="6" t="inlineStr">
        <is>
          <t>H47</t>
        </is>
      </c>
      <c r="B49" s="6" t="inlineStr">
        <is>
          <t>Hi there, I work night shifts and the home connection keeps vanishing after midnight. I can't watch anything in the evenings. I'm really fed up with this.</t>
        </is>
      </c>
      <c r="C49" s="6" t="inlineStr">
        <is>
          <t>[1] ticket TKT-002011: Complaint: To whom it may concern, Service cut out late last night and came back in the morning. I work night shifts. I've already restarted the router. It has been happening since last month. I can't watch anything in the evenin…
[2] ticket TKT-002003: Complaint: My internet goes off in the middle of the night for a few hours. I work night shifts. It has been happening for two weeks. Very frustrating, please sort it out. Resolution: Investigated overnight outages from planned m…
[3] ticket TKT-002029: Complaint: To whom it may concern, My internet goes off in the middle of the night for a few hours. I work night shifts. I've already restarted the router. It has been happening since Monday. Very frustrating, please sort it out.…
[4] ticket TKT-001996: Complaint: To whom it may concern, Every night this week the broadband stopped working overnight. I've already restarted the router. It has been happening for two weeks. I work from home and keep missing client calls. I'm really …
[5] ticket TKT-002009: Complaint: My internet goes off in the middle of the night for a few hours. I work night shifts. I've already restarted the router. Honestly this is ridiculous and I'm close to leaving. Thanks. Resolution: Customer reported overn…
[6] ticket TKT-001997: Complaint: Hello, My internet goes off in the middle of the night for a few hours. I work night shifts. I've already restarted the router. My kids need it for school work. Thanks in advance, you've always been helpful. Cheers. Re…
[7] kb article KB-0001: Fixing evening Wi-Fi dropouts caused by channel interference Applies to: router, broadband. Typical symptoms: my wifi keeps dropping out every evening around evening; the wireless connection cuts out repeatedly at night but the b…
[8] kb article KB-0007: Slow broadband at peak evening hours Applies to: broadband. Typical symptoms: my broadband gets very slow every evening between evening and 11; internet speed drops massively at peak times in the evening. Cause: Network congestio…</t>
        </is>
      </c>
      <c r="D49" s="6" t="inlineStr">
        <is>
          <t>1. Check the planned maintenance schedule for the customer's exchange to identify any overnight outages [1][2][3][4][5][6].
2. Confirm the specific maintenance window and the expected completion date with the customer [1][2][3][4][5][6].
3. Sign the customer up for maintenance notifications so they are informed of future scheduled outages [1][2].
4. Schedule a follow-up call for the next day to confirm the issue is resolved and the service is working [2][4][6].</t>
        </is>
      </c>
      <c r="E49" s="6" t="inlineStr">
        <is>
          <t>- Check the planned maintenance schedule for the customer's exchange
- Confirm the maintenance window and expected completion date
- Sign the customer up for maintenance notifications</t>
        </is>
      </c>
      <c r="F49" s="7" t="n">
        <v>5</v>
      </c>
      <c r="G49" s="7" t="n">
        <v>5</v>
      </c>
      <c r="H49" s="7" t="n">
        <v>5</v>
      </c>
      <c r="I49" s="7" t="inlineStr">
        <is>
          <t>Yes</t>
        </is>
      </c>
      <c r="J49" s="7" t="inlineStr">
        <is>
          <t>RESOLVE</t>
        </is>
      </c>
      <c r="K49" s="7" t="inlineStr">
        <is>
          <t>[AI] All three reference steps; the follow-up call is a harmless extra.</t>
        </is>
      </c>
    </row>
    <row r="50" ht="230" customHeight="1">
      <c r="A50" s="6" t="inlineStr">
        <is>
          <t>H48</t>
        </is>
      </c>
      <c r="B50" s="6" t="inlineStr">
        <is>
          <t>Good morning, The network indicator never switches to the faster mode I'm paying for, downloads are poor. I got the phone abroad. I can't watch anything in the evenings. Very frustrating, please sort it out. Regards.</t>
        </is>
      </c>
      <c r="C50" s="6" t="inlineStr">
        <is>
          <t>[1] ticket TKT-000458: Complaint: Hi there, Data speed dropped to almost nothing after I used a lot this month. I've already restarted the phone. I can't watch anything in the evenings. Very frustrating, please sort it out. Resolution: Investigated mob…
[2] ticket TKT-000451: Complaint: Hi, My phone data was fast until last week and now pages barely load. It has been happening for two weeks. Very frustrating, please sort it out. Resolution: Customer reported mobile data slowed after reaching the usage…
[3] ticket TKT-000452: Complaint: Hi there, My phone data was fast until last week and now pages barely load. I've already restarted the phone. It has been happening since yesterday. Can you look into it? Resolution: Investigated mobile data slowed aft…
[4] ticket TKT-000461: Complaint: Hi there, My phone data was fast until last week and now pages barely load. I've been streaming a lot. It has been happening for three days. This is completely unacceptable. Cheers. Resolution: Caller described mobile …
[5] kb article KB-0010: Mobile data slowed after reaching the usage allowance Applies to: mobile_service. Typical symptoms: my mobile data became extremely slow halfway through the month; data speed dropped to almost nothing after I used a lot this mont…
[6] ticket TKT-000453: Complaint: To whom it may concern, My phone data was fast until last week and now pages barely load. I got a text about usage. It has been happening since yesterday. This is completely unacceptable. Thanks. Resolution: Ticket rai…
[7] ticket TKT-000413: Complaint: My phone stays on 4G even in 5G areas and data is slow. My colleague gets 5G in the same office. It has been happening for about a week. I can't watch anything in the evenings. Very frustrating, please sort it out. Res…
[8] kb article KB-0009: Phone stuck on 4G with a 5G plan Applies to: 5g_service, mobile_service. Typical symptoms: my phone stays on 4G even in 5G areas and data is slow; I have a 5G plan but my phone only shows LTE. Cause: 5G disabled in handset settin…</t>
        </is>
      </c>
      <c r="D50" s="6" t="inlineStr">
        <is>
          <t>1. Check the data usage against the plan's fair-usage allowance in the account to see if the limit has been reached. [1][2][3][4][5][6]
2. Explain to the customer that speeds are reduced after the allowance is reached until the bill cycle resets. [1][2][3][4][5][6]
3. Set the phone's preferred network type to 5G/Auto in the mobile network settings. [7][8]
4. Install the latest carrier settings and phone software update. [7][8]
5. Check that the SIM is 5G-enabled and replace older SIMs if necessary. [7][8]
6. Offer a data add-on or a higher-allowance plan to restore full speeds. [1][4][5][6]</t>
        </is>
      </c>
      <c r="E50" s="6" t="inlineStr">
        <is>
          <t>- Set the phone's preferred network type to 5G/Auto in mobile network settings
- Install the latest carrier settings and phone software update
- Check that the SIM is 5G-enabled and replace older SIMs
- Confirm 5G is provisioned on the account and the handset model is supported</t>
        </is>
      </c>
      <c r="F50" s="7" t="n">
        <v>3</v>
      </c>
      <c r="G50" s="7" t="n">
        <v>4</v>
      </c>
      <c r="H50" s="7" t="n">
        <v>3</v>
      </c>
      <c r="I50" s="7" t="inlineStr">
        <is>
          <t>No</t>
        </is>
      </c>
      <c r="J50" s="7" t="inlineStr">
        <is>
          <t>REVIEW</t>
        </is>
      </c>
      <c r="K50" s="7" t="inlineStr">
        <is>
          <t>[AI] Steps 3-5 match three reference steps, but it leads with fair-usage throttling steps and ends with a data add-on the customer may not need; misses the handset-support check, which matters for a phone bought abroad.</t>
        </is>
      </c>
    </row>
    <row r="51" ht="230" customHeight="1">
      <c r="A51" s="6" t="inlineStr">
        <is>
          <t>H49</t>
        </is>
      </c>
      <c r="B51" s="6" t="inlineStr">
        <is>
          <t>Hey, This statement is noticeably bigger than all the previous ones. The increase is about 15 a month. I've already compared old bills. Let me know what to do.</t>
        </is>
      </c>
      <c r="C51" s="6" t="inlineStr">
        <is>
          <t>[1] ticket TKT-000638: Complaint: Hi, My monthly price increased a lot and I didn't change anything. I've already compared old bills. It has been happening for about a week. Can you look into it? Resolution: Customer reported bill increased after a pro…
[2] ticket TKT-000653: Complaint: Hi, My monthly price increased a lot and I didn't change anything. Nothing changed in my usage. I've already checked the website. It has been happening for three days. My kids need it for school work. Let me know what …
[3] ticket TKT-000651: Complaint: My monthly price increased a lot and I didn't change anything. I joined on a special offer last year. I've already compared old bills. It has been happening for two weeks. Honestly this is ridiculous and I'm close to l…
[4] ticket TKT-000621: Complaint: Hi, My bill suddenly went up this month without warning. I joined on a special offer last year. I've already checked the website. It has been happening since last month. I work from home and keep missing client calls. …
[5] ticket TKT-000647: Complaint: Hi, My bill suddenly went up this month without warning. I've already compared old bills. I work from home and keep missing client calls. This is completely unacceptable. Resolution: Investigated bill increased after a…
[6] ticket TKT-000639: Complaint: Good morning, My bill suddenly went up this month without warning. I joined on a special offer last year. It has been happening since yesterday. Honestly this is ridiculous and I'm close to leaving. Cheers. Resolution:…
[7] kb article KB-0014: Bill increased after a promotional discount ended Applies to: billing_system. Typical symptoms: my bill suddenly went up this month without warning; my monthly price increased a lot and I didn't change anything. Cause: The introd…
[8] kb article KB-0013: Unrecognised third-party and premium SMS charges Applies to: billing_system, mobile_service. Typical symptoms: there are charges for premium text services I never signed up for; my phone bill has third-party subscription charges …</t>
        </is>
      </c>
      <c r="D51" s="6" t="inlineStr">
        <is>
          <t>1. Check the customer's account for an expired promotional discount. [1][2][3][4][5][6][7]
2. Explain to the customer that the introductory offer has ended and the plan has returned to the standard price. [1][2][3][4][5][6][7]
3. Offer the customer current retention deals or a cheaper plan that matches their usage. [1][2][5][6][7]
4. Confirm the customer received the end-of-offer notification and note this on the account. [7]</t>
        </is>
      </c>
      <c r="E51" s="6" t="inlineStr">
        <is>
          <t>- Check the account for an expired promotional discount
- Explain that the introductory offer has ended and the plan returned to the standard price
- Offer the current retention deals or a cheaper plan that matches usage
- Confirm the customer received the end-of-offer notification and note it on the account</t>
        </is>
      </c>
      <c r="F51" s="7" t="n">
        <v>5</v>
      </c>
      <c r="G51" s="7" t="n">
        <v>5</v>
      </c>
      <c r="H51" s="7" t="n">
        <v>5</v>
      </c>
      <c r="I51" s="7" t="inlineStr">
        <is>
          <t>Yes</t>
        </is>
      </c>
      <c r="J51" s="7" t="inlineStr">
        <is>
          <t>RESOLVE</t>
        </is>
      </c>
      <c r="K51" s="7" t="inlineStr">
        <is>
          <t>[AI] Matches the reference.</t>
        </is>
      </c>
    </row>
    <row r="52" ht="230" customHeight="1">
      <c r="A52" s="6" t="inlineStr">
        <is>
          <t>H50</t>
        </is>
      </c>
      <c r="B52" s="6" t="inlineStr">
        <is>
          <t>To whom it may concern, I'm now paying way more each month though I did nothing different. The increase is about 15 a month. I've already looked for emails. It has been happening since Monday. I work from home and keep missing client calls. Very frustrating, please sort it out. Thanks.</t>
        </is>
      </c>
      <c r="C52" s="6" t="inlineStr">
        <is>
          <t>[1] ticket TKT-000621: Complaint: Hi, My bill suddenly went up this month without warning. I joined on a special offer last year. I've already checked the website. It has been happening since last month. I work from home and keep missing client calls. …
[2] ticket TKT-000646: Complaint: My bill suddenly went up this month without warning. I joined on a special offer last year. I've already looked for emails. It has been happening for about a week. I work from home and keep missing client calls. Thank …
[3] ticket TKT-000615: Complaint: The cost of my package jumped compared to last month. I've already checked the website. It has been happening since last month. I work from home and keep missing client calls. I'm really fed up with this. Regards. Reso…
[4] ticket TKT-000629: Complaint: Hey, My monthly price increased a lot and I didn't change anything. Nothing changed in my usage. I've already looked for emails. It has been happening since Monday. Honestly this is ridiculous and I'm close to leaving.…
[5] ticket TKT-000613: Complaint: Hi there, My monthly price increased a lot and I didn't change anything. I work from home and keep missing client calls. I'm really fed up with this. Regards. Resolution: Customer reported bill increased after a promot…
[6] ticket TKT-000658: Complaint: Good morning, My monthly price increased a lot and I didn't change anything. Nothing changed in my usage. I've already looked for emails. It has been happening since yesterday. Honestly this is ridiculous and I'm close…
[7] kb article KB-0014: Bill increased after a promotional discount ended Applies to: billing_system. Typical symptoms: my bill suddenly went up this month without warning; my monthly price increased a lot and I didn't change anything. Cause: The introd…
[8] kb article KB-0015: Charged after cancelling a service Applies to: billing_system. Typical symptoms: I cancelled my service last month but you're still billing me; I'm still being charged even though I closed my account. Cause: The cancellation was …</t>
        </is>
      </c>
      <c r="D52" s="6" t="inlineStr">
        <is>
          <t>1. Check the customer's account for an expired promotional discount. [1][2][3][4][5][6][7]
2. Explain to the customer that the introductory offer has ended and the plan has returned to the standard price. [1][2][3][4][5][6][7]
3. Offer the customer current retention deals or a cheaper plan that matches their usage. [2][3][4][6][7]
4. Confirm that the customer received the end-of-offer notification and note this confirmation on the account. [3][4][6][7]</t>
        </is>
      </c>
      <c r="E52" s="6" t="inlineStr">
        <is>
          <t>- Check the account for an expired promotional discount
- Explain that the introductory offer has ended and the plan returned to the standard price
- Offer the current retention deals or a cheaper plan that matches usage
- Confirm the customer received the end-of-offer notification and note it on the account</t>
        </is>
      </c>
      <c r="F52" s="7" t="n">
        <v>5</v>
      </c>
      <c r="G52" s="7" t="n">
        <v>5</v>
      </c>
      <c r="H52" s="7" t="n">
        <v>5</v>
      </c>
      <c r="I52" s="7" t="inlineStr">
        <is>
          <t>Yes</t>
        </is>
      </c>
      <c r="J52" s="7" t="inlineStr">
        <is>
          <t>RESOLVE</t>
        </is>
      </c>
      <c r="K52" s="7" t="inlineStr">
        <is>
          <t>[AI] Matches the reference.</t>
        </is>
      </c>
    </row>
  </sheetData>
  <dataValidations count="3">
    <dataValidation sqref="F3:F52 G3:G52 H3:H52" showDropDown="0" showInputMessage="0" showErrorMessage="1" allowBlank="1" errorTitle="Invalid rating" error="Choose 1-5" type="list">
      <formula1>"1,2,3,4,5"</formula1>
    </dataValidation>
    <dataValidation sqref="I3:I52" showDropDown="0" showInputMessage="0" showErrorMessage="1" allowBlank="1" type="list">
      <formula1>"Yes,No"</formula1>
    </dataValidation>
    <dataValidation sqref="J3:J52" showDropDown="0" showInputMessage="0" showErrorMessage="1" allowBlank="1" type="list">
      <formula1>"RESOLVE,REVIEW,ESCALATE"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M5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1" customWidth="1" min="2" max="2"/>
    <col width="34" customWidth="1" min="3" max="3"/>
    <col width="20" customWidth="1" min="4" max="4"/>
    <col width="14" customWidth="1" min="5" max="5"/>
    <col width="12" customWidth="1" min="6" max="6"/>
    <col width="13" customWidth="1" min="7" max="7"/>
    <col width="16" customWidth="1" min="8" max="8"/>
    <col width="12" customWidth="1" min="9" max="9"/>
    <col width="13" customWidth="1" min="10" max="10"/>
    <col width="12" customWidth="1" min="11" max="11"/>
    <col width="12" customWidth="1" min="12" max="12"/>
    <col width="12" customWidth="1" min="13" max="13"/>
  </cols>
  <sheetData>
    <row r="1" ht="42" customHeight="1">
      <c r="A1" s="4" t="inlineStr">
        <is>
          <t>Sample</t>
        </is>
      </c>
      <c r="B1" s="4" t="inlineStr">
        <is>
          <t>Case ID</t>
        </is>
      </c>
      <c r="C1" s="4" t="inlineStr">
        <is>
          <t>Scenario</t>
        </is>
      </c>
      <c r="D1" s="4" t="inlineStr">
        <is>
          <t>Category</t>
        </is>
      </c>
      <c r="E1" s="4" t="inlineStr">
        <is>
          <t>System decision</t>
        </is>
      </c>
      <c r="F1" s="4" t="inlineStr">
        <is>
          <t>Heuristic confidence</t>
        </is>
      </c>
      <c r="G1" s="4" t="inlineStr">
        <is>
          <t>Groundedness</t>
        </is>
      </c>
      <c r="H1" s="4" t="inlineStr">
        <is>
          <t>Auto metric: reference-step recall</t>
        </is>
      </c>
      <c r="I1" s="4" t="inlineStr">
        <is>
          <t>LLM-judge relevance</t>
        </is>
      </c>
      <c r="J1" s="4" t="inlineStr">
        <is>
          <t>LLM-judge completeness</t>
        </is>
      </c>
      <c r="K1" s="4" t="inlineStr">
        <is>
          <t>LLM-judge specificity</t>
        </is>
      </c>
      <c r="L1" s="4" t="inlineStr">
        <is>
          <t>LLM-judge correctness</t>
        </is>
      </c>
      <c r="M1" s="4" t="inlineStr">
        <is>
          <t>Draft empty (declined)</t>
        </is>
      </c>
    </row>
    <row r="2">
      <c r="A2" s="8" t="inlineStr">
        <is>
          <t>EX</t>
        </is>
      </c>
    </row>
    <row r="3">
      <c r="A3" s="9" t="inlineStr">
        <is>
          <t>H01</t>
        </is>
      </c>
      <c r="B3" s="9" t="inlineStr">
        <is>
          <t>GEN-0013</t>
        </is>
      </c>
      <c r="C3" s="9" t="inlineStr">
        <is>
          <t>ACT_FIBER_NOT_PROVISIONED</t>
        </is>
      </c>
      <c r="D3" s="9" t="inlineStr">
        <is>
          <t>service_activation</t>
        </is>
      </c>
      <c r="E3" s="9" t="inlineStr">
        <is>
          <t>RESOLVE</t>
        </is>
      </c>
      <c r="F3" s="10" t="n">
        <v>0.8262</v>
      </c>
      <c r="G3" s="10" t="n">
        <v>1</v>
      </c>
      <c r="H3" s="9" t="n">
        <v>0</v>
      </c>
      <c r="I3" s="9" t="n">
        <v>1</v>
      </c>
      <c r="J3" s="9" t="n">
        <v>1</v>
      </c>
      <c r="K3" s="9" t="n">
        <v>2</v>
      </c>
      <c r="L3" s="9" t="n">
        <v>1</v>
      </c>
      <c r="M3" s="9" t="inlineStr">
        <is>
          <t>No</t>
        </is>
      </c>
    </row>
    <row r="4">
      <c r="A4" s="9" t="inlineStr">
        <is>
          <t>H02</t>
        </is>
      </c>
      <c r="B4" s="9" t="inlineStr">
        <is>
          <t>GEN-0036</t>
        </is>
      </c>
      <c r="C4" s="9" t="inlineStr">
        <is>
          <t>HW_MODEM_NO_POWER</t>
        </is>
      </c>
      <c r="D4" s="9" t="inlineStr">
        <is>
          <t>hardware_problem</t>
        </is>
      </c>
      <c r="E4" s="9" t="inlineStr">
        <is>
          <t>REVIEW</t>
        </is>
      </c>
      <c r="F4" s="10" t="n">
        <v>0.8946</v>
      </c>
      <c r="G4" s="10" t="n">
        <v>1</v>
      </c>
      <c r="H4" s="9" t="n">
        <v>0.75</v>
      </c>
      <c r="I4" s="9" t="n">
        <v>5</v>
      </c>
      <c r="J4" s="9" t="n">
        <v>5</v>
      </c>
      <c r="K4" s="9" t="n">
        <v>5</v>
      </c>
      <c r="L4" s="9" t="n">
        <v>5</v>
      </c>
      <c r="M4" s="9" t="inlineStr">
        <is>
          <t>No</t>
        </is>
      </c>
    </row>
    <row r="5">
      <c r="A5" s="9" t="inlineStr">
        <is>
          <t>H03</t>
        </is>
      </c>
      <c r="B5" s="9" t="inlineStr">
        <is>
          <t>GEN-0012</t>
        </is>
      </c>
      <c r="C5" s="9" t="inlineStr">
        <is>
          <t>ACT_FIBER_NOT_PROVISIONED</t>
        </is>
      </c>
      <c r="D5" s="9" t="inlineStr">
        <is>
          <t>service_activation</t>
        </is>
      </c>
      <c r="E5" s="9" t="inlineStr">
        <is>
          <t>RESOLVE</t>
        </is>
      </c>
      <c r="F5" s="10" t="n">
        <v>0.7991</v>
      </c>
      <c r="G5" s="10" t="n">
        <v>1</v>
      </c>
      <c r="H5" s="9" t="n">
        <v>1</v>
      </c>
      <c r="I5" s="9" t="n">
        <v>5</v>
      </c>
      <c r="J5" s="9" t="n">
        <v>5</v>
      </c>
      <c r="K5" s="9" t="n">
        <v>5</v>
      </c>
      <c r="L5" s="9" t="n">
        <v>5</v>
      </c>
      <c r="M5" s="9" t="inlineStr">
        <is>
          <t>No</t>
        </is>
      </c>
    </row>
    <row r="6">
      <c r="A6" s="9" t="inlineStr">
        <is>
          <t>H04</t>
        </is>
      </c>
      <c r="B6" s="9" t="inlineStr">
        <is>
          <t>GEN-0002</t>
        </is>
      </c>
      <c r="C6" s="9" t="inlineStr">
        <is>
          <t>SPEED_PEAK_CONGESTION</t>
        </is>
      </c>
      <c r="D6" s="9" t="inlineStr">
        <is>
          <t>speed_issue</t>
        </is>
      </c>
      <c r="E6" s="9" t="inlineStr">
        <is>
          <t>RESOLVE</t>
        </is>
      </c>
      <c r="F6" s="10" t="n">
        <v>0.8100000000000001</v>
      </c>
      <c r="G6" s="10" t="n">
        <v>1</v>
      </c>
      <c r="H6" s="9" t="n">
        <v>1</v>
      </c>
      <c r="I6" s="9" t="n">
        <v>5</v>
      </c>
      <c r="J6" s="9" t="n">
        <v>5</v>
      </c>
      <c r="K6" s="9" t="n">
        <v>5</v>
      </c>
      <c r="L6" s="9" t="n">
        <v>5</v>
      </c>
      <c r="M6" s="9" t="inlineStr">
        <is>
          <t>No</t>
        </is>
      </c>
    </row>
    <row r="7">
      <c r="A7" s="9" t="inlineStr">
        <is>
          <t>H05</t>
        </is>
      </c>
      <c r="B7" s="9" t="inlineStr">
        <is>
          <t>GEN-0014</t>
        </is>
      </c>
      <c r="C7" s="9" t="inlineStr">
        <is>
          <t>ACT_PORT_IN_STUCK</t>
        </is>
      </c>
      <c r="D7" s="9" t="inlineStr">
        <is>
          <t>service_activation</t>
        </is>
      </c>
      <c r="E7" s="9" t="inlineStr">
        <is>
          <t>RESOLVE</t>
        </is>
      </c>
      <c r="F7" s="10" t="n">
        <v>0.9006999999999999</v>
      </c>
      <c r="G7" s="10" t="n">
        <v>1</v>
      </c>
      <c r="H7" s="9" t="n">
        <v>0.75</v>
      </c>
      <c r="I7" s="9" t="n">
        <v>5</v>
      </c>
      <c r="J7" s="9" t="n">
        <v>5</v>
      </c>
      <c r="K7" s="9" t="n">
        <v>4</v>
      </c>
      <c r="L7" s="9" t="n">
        <v>4</v>
      </c>
      <c r="M7" s="9" t="inlineStr">
        <is>
          <t>No</t>
        </is>
      </c>
    </row>
    <row r="8">
      <c r="A8" s="9" t="inlineStr">
        <is>
          <t>H06</t>
        </is>
      </c>
      <c r="B8" s="9" t="inlineStr">
        <is>
          <t>GEN-0047</t>
        </is>
      </c>
      <c r="C8" s="9" t="inlineStr">
        <is>
          <t>SPEED_5G_FALLBACK</t>
        </is>
      </c>
      <c r="D8" s="9" t="inlineStr">
        <is>
          <t>speed_issue</t>
        </is>
      </c>
      <c r="E8" s="9" t="inlineStr">
        <is>
          <t>RESOLVE</t>
        </is>
      </c>
      <c r="F8" s="10" t="n">
        <v>0.8971</v>
      </c>
      <c r="G8" s="10" t="n">
        <v>1</v>
      </c>
      <c r="H8" s="9" t="n">
        <v>0</v>
      </c>
      <c r="I8" s="9" t="n">
        <v>1</v>
      </c>
      <c r="J8" s="9" t="n">
        <v>1</v>
      </c>
      <c r="K8" s="9" t="n">
        <v>2</v>
      </c>
      <c r="L8" s="9" t="n">
        <v>1</v>
      </c>
      <c r="M8" s="9" t="inlineStr">
        <is>
          <t>No</t>
        </is>
      </c>
    </row>
    <row r="9">
      <c r="A9" s="9" t="inlineStr">
        <is>
          <t>H07</t>
        </is>
      </c>
      <c r="B9" s="9" t="inlineStr">
        <is>
          <t>GEN-0049</t>
        </is>
      </c>
      <c r="C9" s="9" t="inlineStr">
        <is>
          <t>HW_SIM_NOT_DETECTED</t>
        </is>
      </c>
      <c r="D9" s="9" t="inlineStr">
        <is>
          <t>hardware_problem</t>
        </is>
      </c>
      <c r="E9" s="9" t="inlineStr">
        <is>
          <t>RESOLVE</t>
        </is>
      </c>
      <c r="F9" s="10" t="n">
        <v>0.9167</v>
      </c>
      <c r="G9" s="10" t="n">
        <v>1</v>
      </c>
      <c r="H9" s="9" t="n">
        <v>1</v>
      </c>
      <c r="I9" s="9" t="n">
        <v>5</v>
      </c>
      <c r="J9" s="9" t="n">
        <v>5</v>
      </c>
      <c r="K9" s="9" t="n">
        <v>5</v>
      </c>
      <c r="L9" s="9" t="n">
        <v>5</v>
      </c>
      <c r="M9" s="9" t="inlineStr">
        <is>
          <t>No</t>
        </is>
      </c>
    </row>
    <row r="10">
      <c r="A10" s="9" t="inlineStr">
        <is>
          <t>H08</t>
        </is>
      </c>
      <c r="B10" s="9" t="inlineStr">
        <is>
          <t>GEN-0041</t>
        </is>
      </c>
      <c r="C10" s="9" t="inlineStr">
        <is>
          <t>TECH_STATIC_IP</t>
        </is>
      </c>
      <c r="D10" s="9" t="inlineStr">
        <is>
          <t>technical_support</t>
        </is>
      </c>
      <c r="E10" s="9" t="inlineStr">
        <is>
          <t>RESOLVE</t>
        </is>
      </c>
      <c r="F10" s="10" t="n">
        <v>0.9767</v>
      </c>
      <c r="G10" s="10" t="n">
        <v>1</v>
      </c>
      <c r="H10" s="9" t="n">
        <v>1</v>
      </c>
      <c r="I10" s="9" t="n">
        <v>5</v>
      </c>
      <c r="J10" s="9" t="n">
        <v>5</v>
      </c>
      <c r="K10" s="9" t="n">
        <v>4</v>
      </c>
      <c r="L10" s="9" t="n">
        <v>5</v>
      </c>
      <c r="M10" s="9" t="inlineStr">
        <is>
          <t>No</t>
        </is>
      </c>
    </row>
    <row r="11">
      <c r="A11" s="9" t="inlineStr">
        <is>
          <t>H09</t>
        </is>
      </c>
      <c r="B11" s="9" t="inlineStr">
        <is>
          <t>GEN-0024</t>
        </is>
      </c>
      <c r="C11" s="9" t="inlineStr">
        <is>
          <t>OUT_AREA_FIBER_CUT</t>
        </is>
      </c>
      <c r="D11" s="9" t="inlineStr">
        <is>
          <t>outage_report</t>
        </is>
      </c>
      <c r="E11" s="9" t="inlineStr">
        <is>
          <t>REVIEW</t>
        </is>
      </c>
      <c r="F11" s="10" t="n">
        <v>0.8722</v>
      </c>
      <c r="G11" s="10" t="n">
        <v>1</v>
      </c>
      <c r="H11" s="9" t="n">
        <v>1</v>
      </c>
      <c r="I11" s="9" t="n">
        <v>5</v>
      </c>
      <c r="J11" s="9" t="n">
        <v>5</v>
      </c>
      <c r="K11" s="9" t="n">
        <v>4</v>
      </c>
      <c r="L11" s="9" t="n">
        <v>5</v>
      </c>
      <c r="M11" s="9" t="inlineStr">
        <is>
          <t>No</t>
        </is>
      </c>
    </row>
    <row r="12">
      <c r="A12" s="9" t="inlineStr">
        <is>
          <t>H10</t>
        </is>
      </c>
      <c r="B12" s="9" t="inlineStr">
        <is>
          <t>GEN-0010</t>
        </is>
      </c>
      <c r="C12" s="9" t="inlineStr">
        <is>
          <t>ACC_CHANGE_HOLDER</t>
        </is>
      </c>
      <c r="D12" s="9" t="inlineStr">
        <is>
          <t>account_management</t>
        </is>
      </c>
      <c r="E12" s="9" t="inlineStr">
        <is>
          <t>RESOLVE</t>
        </is>
      </c>
      <c r="F12" s="10" t="n">
        <v>0.7905</v>
      </c>
      <c r="G12" s="10" t="n">
        <v>1</v>
      </c>
      <c r="H12" s="9" t="n">
        <v>1</v>
      </c>
      <c r="I12" s="9" t="n">
        <v>5</v>
      </c>
      <c r="J12" s="9" t="n">
        <v>5</v>
      </c>
      <c r="K12" s="9" t="n">
        <v>5</v>
      </c>
      <c r="L12" s="9" t="n">
        <v>5</v>
      </c>
      <c r="M12" s="9" t="inlineStr">
        <is>
          <t>No</t>
        </is>
      </c>
    </row>
    <row r="13">
      <c r="A13" s="9" t="inlineStr">
        <is>
          <t>H11</t>
        </is>
      </c>
      <c r="B13" s="9" t="inlineStr">
        <is>
          <t>GEN-0052</t>
        </is>
      </c>
      <c r="C13" s="9" t="inlineStr">
        <is>
          <t>CONN_FIBER_ONT_LOS</t>
        </is>
      </c>
      <c r="D13" s="9" t="inlineStr">
        <is>
          <t>connectivity_issue</t>
        </is>
      </c>
      <c r="E13" s="9" t="inlineStr">
        <is>
          <t>REVIEW</t>
        </is>
      </c>
      <c r="F13" s="10" t="n">
        <v>0.8869</v>
      </c>
      <c r="G13" s="10" t="n">
        <v>1</v>
      </c>
      <c r="H13" s="9" t="n">
        <v>1</v>
      </c>
      <c r="I13" s="9" t="n">
        <v>5</v>
      </c>
      <c r="J13" s="9" t="n">
        <v>5</v>
      </c>
      <c r="K13" s="9" t="n">
        <v>5</v>
      </c>
      <c r="L13" s="9" t="n">
        <v>5</v>
      </c>
      <c r="M13" s="9" t="inlineStr">
        <is>
          <t>No</t>
        </is>
      </c>
    </row>
    <row r="14">
      <c r="A14" s="9" t="inlineStr">
        <is>
          <t>H12</t>
        </is>
      </c>
      <c r="B14" s="9" t="inlineStr">
        <is>
          <t>GEN-0021</t>
        </is>
      </c>
      <c r="C14" s="9" t="inlineStr">
        <is>
          <t>ACC_OTP_NOT_RECEIVED</t>
        </is>
      </c>
      <c r="D14" s="9" t="inlineStr">
        <is>
          <t>account_management</t>
        </is>
      </c>
      <c r="E14" s="9" t="inlineStr">
        <is>
          <t>RESOLVE</t>
        </is>
      </c>
      <c r="F14" s="10" t="n">
        <v>0.9795</v>
      </c>
      <c r="G14" s="10" t="n">
        <v>1</v>
      </c>
      <c r="H14" s="9" t="n">
        <v>0.5</v>
      </c>
      <c r="I14" s="9" t="n">
        <v>5</v>
      </c>
      <c r="J14" s="9" t="n">
        <v>5</v>
      </c>
      <c r="K14" s="9" t="n">
        <v>4</v>
      </c>
      <c r="L14" s="9" t="n">
        <v>5</v>
      </c>
      <c r="M14" s="9" t="inlineStr">
        <is>
          <t>No</t>
        </is>
      </c>
    </row>
    <row r="15">
      <c r="A15" s="9" t="inlineStr">
        <is>
          <t>H13</t>
        </is>
      </c>
      <c r="B15" s="9" t="inlineStr">
        <is>
          <t>GEN-0032</t>
        </is>
      </c>
      <c r="C15" s="9" t="inlineStr">
        <is>
          <t>TECH_VOICEMAIL_SETUP</t>
        </is>
      </c>
      <c r="D15" s="9" t="inlineStr">
        <is>
          <t>technical_support</t>
        </is>
      </c>
      <c r="E15" s="9" t="inlineStr">
        <is>
          <t>RESOLVE</t>
        </is>
      </c>
      <c r="F15" s="10" t="n">
        <v>0.9334</v>
      </c>
      <c r="G15" s="10" t="n">
        <v>1</v>
      </c>
      <c r="H15" s="9" t="n">
        <v>1</v>
      </c>
      <c r="I15" s="9" t="n">
        <v>5</v>
      </c>
      <c r="J15" s="9" t="n">
        <v>5</v>
      </c>
      <c r="K15" s="9" t="n">
        <v>4</v>
      </c>
      <c r="L15" s="9" t="n">
        <v>5</v>
      </c>
      <c r="M15" s="9" t="inlineStr">
        <is>
          <t>No</t>
        </is>
      </c>
    </row>
    <row r="16">
      <c r="A16" s="9" t="inlineStr">
        <is>
          <t>H14</t>
        </is>
      </c>
      <c r="B16" s="9" t="inlineStr">
        <is>
          <t>GEN-0007</t>
        </is>
      </c>
      <c r="C16" s="9" t="inlineStr">
        <is>
          <t>TECH_PORT_FORWARDING</t>
        </is>
      </c>
      <c r="D16" s="9" t="inlineStr">
        <is>
          <t>technical_support</t>
        </is>
      </c>
      <c r="E16" s="9" t="inlineStr">
        <is>
          <t>RESOLVE</t>
        </is>
      </c>
      <c r="F16" s="10" t="n">
        <v>0.8868</v>
      </c>
      <c r="G16" s="10" t="n">
        <v>1</v>
      </c>
      <c r="H16" s="9" t="n">
        <v>1</v>
      </c>
      <c r="I16" s="9" t="n">
        <v>5</v>
      </c>
      <c r="J16" s="9" t="n">
        <v>5</v>
      </c>
      <c r="K16" s="9" t="n">
        <v>4</v>
      </c>
      <c r="L16" s="9" t="n">
        <v>5</v>
      </c>
      <c r="M16" s="9" t="inlineStr">
        <is>
          <t>No</t>
        </is>
      </c>
    </row>
    <row r="17">
      <c r="A17" s="9" t="inlineStr">
        <is>
          <t>H15</t>
        </is>
      </c>
      <c r="B17" s="9" t="inlineStr">
        <is>
          <t>GEN-0045</t>
        </is>
      </c>
      <c r="C17" s="9" t="inlineStr">
        <is>
          <t>SPEED_PEAK_CONGESTION</t>
        </is>
      </c>
      <c r="D17" s="9" t="inlineStr">
        <is>
          <t>speed_issue</t>
        </is>
      </c>
      <c r="E17" s="9" t="inlineStr">
        <is>
          <t>RESOLVE</t>
        </is>
      </c>
      <c r="F17" s="10" t="n">
        <v>0.9087</v>
      </c>
      <c r="G17" s="10" t="n">
        <v>1</v>
      </c>
      <c r="H17" s="9" t="n">
        <v>1</v>
      </c>
      <c r="I17" s="9" t="n">
        <v>5</v>
      </c>
      <c r="J17" s="9" t="n">
        <v>5</v>
      </c>
      <c r="K17" s="9" t="n">
        <v>5</v>
      </c>
      <c r="L17" s="9" t="n">
        <v>5</v>
      </c>
      <c r="M17" s="9" t="inlineStr">
        <is>
          <t>No</t>
        </is>
      </c>
    </row>
    <row r="18">
      <c r="A18" s="9" t="inlineStr">
        <is>
          <t>H16</t>
        </is>
      </c>
      <c r="B18" s="9" t="inlineStr">
        <is>
          <t>GEN-0008</t>
        </is>
      </c>
      <c r="C18" s="9" t="inlineStr">
        <is>
          <t>CONN_DSL_LINE_NOISE</t>
        </is>
      </c>
      <c r="D18" s="9" t="inlineStr">
        <is>
          <t>connectivity_issue</t>
        </is>
      </c>
      <c r="E18" s="9" t="inlineStr">
        <is>
          <t>RESOLVE</t>
        </is>
      </c>
      <c r="F18" s="10" t="n">
        <v>0.908</v>
      </c>
      <c r="G18" s="10" t="n">
        <v>1</v>
      </c>
      <c r="H18" s="9" t="n">
        <v>1</v>
      </c>
      <c r="I18" s="9" t="n">
        <v>5</v>
      </c>
      <c r="J18" s="9" t="n">
        <v>5</v>
      </c>
      <c r="K18" s="9" t="n">
        <v>5</v>
      </c>
      <c r="L18" s="9" t="n">
        <v>5</v>
      </c>
      <c r="M18" s="9" t="inlineStr">
        <is>
          <t>No</t>
        </is>
      </c>
    </row>
    <row r="19">
      <c r="A19" s="9" t="inlineStr">
        <is>
          <t>H17</t>
        </is>
      </c>
      <c r="B19" s="9" t="inlineStr">
        <is>
          <t>GEN-0005</t>
        </is>
      </c>
      <c r="C19" s="9" t="inlineStr">
        <is>
          <t>OUT_MOBILE_MAST</t>
        </is>
      </c>
      <c r="D19" s="9" t="inlineStr">
        <is>
          <t>outage_report</t>
        </is>
      </c>
      <c r="E19" s="9" t="inlineStr">
        <is>
          <t>REVIEW</t>
        </is>
      </c>
      <c r="F19" s="10" t="n">
        <v>0.8986</v>
      </c>
      <c r="G19" s="10" t="n">
        <v>1</v>
      </c>
      <c r="H19" s="9" t="n">
        <v>1</v>
      </c>
      <c r="I19" s="9" t="n">
        <v>5</v>
      </c>
      <c r="J19" s="9" t="n">
        <v>4</v>
      </c>
      <c r="K19" s="9" t="n">
        <v>5</v>
      </c>
      <c r="L19" s="9" t="n">
        <v>5</v>
      </c>
      <c r="M19" s="9" t="inlineStr">
        <is>
          <t>No</t>
        </is>
      </c>
    </row>
    <row r="20">
      <c r="A20" s="9" t="inlineStr">
        <is>
          <t>H18</t>
        </is>
      </c>
      <c r="B20" s="9" t="inlineStr">
        <is>
          <t>GEN-0051</t>
        </is>
      </c>
      <c r="C20" s="9" t="inlineStr">
        <is>
          <t>HW_RESET_LOST_CONFIG</t>
        </is>
      </c>
      <c r="D20" s="9" t="inlineStr">
        <is>
          <t>hardware_problem</t>
        </is>
      </c>
      <c r="E20" s="9" t="inlineStr">
        <is>
          <t>RESOLVE</t>
        </is>
      </c>
      <c r="F20" s="10" t="n">
        <v>0.869</v>
      </c>
      <c r="G20" s="10" t="n">
        <v>1</v>
      </c>
      <c r="H20" s="9" t="n">
        <v>0</v>
      </c>
      <c r="I20" s="9" t="n">
        <v>1</v>
      </c>
      <c r="J20" s="9" t="n">
        <v>1</v>
      </c>
      <c r="K20" s="9" t="n">
        <v>2</v>
      </c>
      <c r="L20" s="9" t="n">
        <v>2</v>
      </c>
      <c r="M20" s="9" t="inlineStr">
        <is>
          <t>No</t>
        </is>
      </c>
    </row>
    <row r="21">
      <c r="A21" s="9" t="inlineStr">
        <is>
          <t>H19</t>
        </is>
      </c>
      <c r="B21" s="9" t="inlineStr">
        <is>
          <t>GEN-0015</t>
        </is>
      </c>
      <c r="C21" s="9" t="inlineStr">
        <is>
          <t>CONN_MOBILE_INDOOR_SIGNAL</t>
        </is>
      </c>
      <c r="D21" s="9" t="inlineStr">
        <is>
          <t>connectivity_issue</t>
        </is>
      </c>
      <c r="E21" s="9" t="inlineStr">
        <is>
          <t>RESOLVE</t>
        </is>
      </c>
      <c r="F21" s="10" t="n">
        <v>0.9631999999999999</v>
      </c>
      <c r="G21" s="10" t="n">
        <v>1</v>
      </c>
      <c r="H21" s="9" t="n">
        <v>0.75</v>
      </c>
      <c r="I21" s="9" t="n">
        <v>5</v>
      </c>
      <c r="J21" s="9" t="n">
        <v>5</v>
      </c>
      <c r="K21" s="9" t="n">
        <v>5</v>
      </c>
      <c r="L21" s="9" t="n">
        <v>5</v>
      </c>
      <c r="M21" s="9" t="inlineStr">
        <is>
          <t>No</t>
        </is>
      </c>
    </row>
    <row r="22">
      <c r="A22" s="9" t="inlineStr">
        <is>
          <t>H20</t>
        </is>
      </c>
      <c r="B22" s="9" t="inlineStr">
        <is>
          <t>GEN-0020</t>
        </is>
      </c>
      <c r="C22" s="9" t="inlineStr">
        <is>
          <t>ACC_OTP_NOT_RECEIVED</t>
        </is>
      </c>
      <c r="D22" s="9" t="inlineStr">
        <is>
          <t>account_management</t>
        </is>
      </c>
      <c r="E22" s="9" t="inlineStr">
        <is>
          <t>RESOLVE</t>
        </is>
      </c>
      <c r="F22" s="10" t="n">
        <v>0.9811</v>
      </c>
      <c r="G22" s="10" t="n">
        <v>1</v>
      </c>
      <c r="H22" s="9" t="n">
        <v>0.75</v>
      </c>
      <c r="I22" s="9" t="n">
        <v>5</v>
      </c>
      <c r="J22" s="9" t="n">
        <v>5</v>
      </c>
      <c r="K22" s="9" t="n">
        <v>4</v>
      </c>
      <c r="L22" s="9" t="n">
        <v>5</v>
      </c>
      <c r="M22" s="9" t="inlineStr">
        <is>
          <t>No</t>
        </is>
      </c>
    </row>
    <row r="23">
      <c r="A23" s="9" t="inlineStr">
        <is>
          <t>H21</t>
        </is>
      </c>
      <c r="B23" s="9" t="inlineStr">
        <is>
          <t>GEN-0044</t>
        </is>
      </c>
      <c r="C23" s="9" t="inlineStr">
        <is>
          <t>TECH_STATIC_IP</t>
        </is>
      </c>
      <c r="D23" s="9" t="inlineStr">
        <is>
          <t>technical_support</t>
        </is>
      </c>
      <c r="E23" s="9" t="inlineStr">
        <is>
          <t>RESOLVE</t>
        </is>
      </c>
      <c r="F23" s="10" t="n">
        <v>0.9604</v>
      </c>
      <c r="G23" s="10" t="n">
        <v>1</v>
      </c>
      <c r="H23" s="9" t="n">
        <v>1</v>
      </c>
      <c r="I23" s="9" t="n">
        <v>5</v>
      </c>
      <c r="J23" s="9" t="n">
        <v>5</v>
      </c>
      <c r="K23" s="9" t="n">
        <v>5</v>
      </c>
      <c r="L23" s="9" t="n">
        <v>5</v>
      </c>
      <c r="M23" s="9" t="inlineStr">
        <is>
          <t>No</t>
        </is>
      </c>
    </row>
    <row r="24">
      <c r="A24" s="9" t="inlineStr">
        <is>
          <t>H22</t>
        </is>
      </c>
      <c r="B24" s="9" t="inlineStr">
        <is>
          <t>GEN-0009</t>
        </is>
      </c>
      <c r="C24" s="9" t="inlineStr">
        <is>
          <t>BILL_ETF_HOME_MOVE</t>
        </is>
      </c>
      <c r="D24" s="9" t="inlineStr">
        <is>
          <t>billing_dispute</t>
        </is>
      </c>
      <c r="E24" s="9" t="inlineStr">
        <is>
          <t>RESOLVE</t>
        </is>
      </c>
      <c r="F24" s="10" t="n">
        <v>0.9359</v>
      </c>
      <c r="G24" s="10" t="n">
        <v>1</v>
      </c>
      <c r="H24" s="9" t="n">
        <v>1</v>
      </c>
      <c r="I24" s="9" t="n">
        <v>5</v>
      </c>
      <c r="J24" s="9" t="n">
        <v>5</v>
      </c>
      <c r="K24" s="9" t="n">
        <v>4</v>
      </c>
      <c r="L24" s="9" t="n">
        <v>5</v>
      </c>
      <c r="M24" s="9" t="inlineStr">
        <is>
          <t>No</t>
        </is>
      </c>
    </row>
    <row r="25">
      <c r="A25" s="9" t="inlineStr">
        <is>
          <t>H23</t>
        </is>
      </c>
      <c r="B25" s="9" t="inlineStr">
        <is>
          <t>GEN-0029</t>
        </is>
      </c>
      <c r="C25" s="9" t="inlineStr">
        <is>
          <t>SPEED_5G_FALLBACK</t>
        </is>
      </c>
      <c r="D25" s="9" t="inlineStr">
        <is>
          <t>speed_issue</t>
        </is>
      </c>
      <c r="E25" s="9" t="inlineStr">
        <is>
          <t>RESOLVE</t>
        </is>
      </c>
      <c r="F25" s="10" t="n">
        <v>0.8585</v>
      </c>
      <c r="G25" s="10" t="n">
        <v>1</v>
      </c>
      <c r="H25" s="9" t="n">
        <v>1</v>
      </c>
      <c r="I25" s="9" t="n">
        <v>5</v>
      </c>
      <c r="J25" s="9" t="n">
        <v>5</v>
      </c>
      <c r="K25" s="9" t="n">
        <v>5</v>
      </c>
      <c r="L25" s="9" t="n">
        <v>5</v>
      </c>
      <c r="M25" s="9" t="inlineStr">
        <is>
          <t>No</t>
        </is>
      </c>
    </row>
    <row r="26">
      <c r="A26" s="9" t="inlineStr">
        <is>
          <t>H24</t>
        </is>
      </c>
      <c r="B26" s="9" t="inlineStr">
        <is>
          <t>GEN-0006</t>
        </is>
      </c>
      <c r="C26" s="9" t="inlineStr">
        <is>
          <t>ACT_5G_NOT_PROVISIONED</t>
        </is>
      </c>
      <c r="D26" s="9" t="inlineStr">
        <is>
          <t>service_activation</t>
        </is>
      </c>
      <c r="E26" s="9" t="inlineStr">
        <is>
          <t>RESOLVE</t>
        </is>
      </c>
      <c r="F26" s="10" t="n">
        <v>0.9093</v>
      </c>
      <c r="G26" s="10" t="n">
        <v>1</v>
      </c>
      <c r="H26" s="9" t="n">
        <v>1</v>
      </c>
      <c r="I26" s="9" t="n">
        <v>5</v>
      </c>
      <c r="J26" s="9" t="n">
        <v>4</v>
      </c>
      <c r="K26" s="9" t="n">
        <v>5</v>
      </c>
      <c r="L26" s="9" t="n">
        <v>5</v>
      </c>
      <c r="M26" s="9" t="inlineStr">
        <is>
          <t>No</t>
        </is>
      </c>
    </row>
    <row r="27">
      <c r="A27" s="9" t="inlineStr">
        <is>
          <t>H25</t>
        </is>
      </c>
      <c r="B27" s="9" t="inlineStr">
        <is>
          <t>GEN-0011</t>
        </is>
      </c>
      <c r="C27" s="9" t="inlineStr">
        <is>
          <t>ACC_LOCKED_OUT</t>
        </is>
      </c>
      <c r="D27" s="9" t="inlineStr">
        <is>
          <t>account_management</t>
        </is>
      </c>
      <c r="E27" s="9" t="inlineStr">
        <is>
          <t>RESOLVE</t>
        </is>
      </c>
      <c r="F27" s="10" t="n">
        <v>0.8924</v>
      </c>
      <c r="G27" s="10" t="n">
        <v>1</v>
      </c>
      <c r="H27" s="9" t="n">
        <v>1</v>
      </c>
      <c r="I27" s="9" t="n">
        <v>5</v>
      </c>
      <c r="J27" s="9" t="n">
        <v>5</v>
      </c>
      <c r="K27" s="9" t="n">
        <v>4</v>
      </c>
      <c r="L27" s="9" t="n">
        <v>5</v>
      </c>
      <c r="M27" s="9" t="inlineStr">
        <is>
          <t>No</t>
        </is>
      </c>
    </row>
    <row r="28">
      <c r="A28" s="9" t="inlineStr">
        <is>
          <t>H26</t>
        </is>
      </c>
      <c r="B28" s="9" t="inlineStr">
        <is>
          <t>GEN-0048</t>
        </is>
      </c>
      <c r="C28" s="9" t="inlineStr">
        <is>
          <t>ACC_LOCKED_OUT</t>
        </is>
      </c>
      <c r="D28" s="9" t="inlineStr">
        <is>
          <t>account_management</t>
        </is>
      </c>
      <c r="E28" s="9" t="inlineStr">
        <is>
          <t>RESOLVE</t>
        </is>
      </c>
      <c r="F28" s="10" t="n">
        <v>0.9445</v>
      </c>
      <c r="G28" s="10" t="n">
        <v>1</v>
      </c>
      <c r="H28" s="9" t="n">
        <v>1</v>
      </c>
      <c r="I28" s="9" t="n">
        <v>5</v>
      </c>
      <c r="J28" s="9" t="n">
        <v>4</v>
      </c>
      <c r="K28" s="9" t="n">
        <v>4</v>
      </c>
      <c r="L28" s="9" t="n">
        <v>5</v>
      </c>
      <c r="M28" s="9" t="inlineStr">
        <is>
          <t>No</t>
        </is>
      </c>
    </row>
    <row r="29">
      <c r="A29" s="9" t="inlineStr">
        <is>
          <t>H27</t>
        </is>
      </c>
      <c r="B29" s="9" t="inlineStr">
        <is>
          <t>GEN-0017</t>
        </is>
      </c>
      <c r="C29" s="9" t="inlineStr">
        <is>
          <t>CONN_DNS_FAILURE</t>
        </is>
      </c>
      <c r="D29" s="9" t="inlineStr">
        <is>
          <t>connectivity_issue</t>
        </is>
      </c>
      <c r="E29" s="9" t="inlineStr">
        <is>
          <t>REVIEW</t>
        </is>
      </c>
      <c r="F29" s="10" t="n">
        <v>0.8902</v>
      </c>
      <c r="G29" s="10" t="n">
        <v>1</v>
      </c>
      <c r="H29" s="9" t="n">
        <v>1</v>
      </c>
      <c r="I29" s="9" t="n">
        <v>5</v>
      </c>
      <c r="J29" s="9" t="n">
        <v>5</v>
      </c>
      <c r="K29" s="9" t="n">
        <v>5</v>
      </c>
      <c r="L29" s="9" t="n">
        <v>5</v>
      </c>
      <c r="M29" s="9" t="inlineStr">
        <is>
          <t>No</t>
        </is>
      </c>
    </row>
    <row r="30">
      <c r="A30" s="9" t="inlineStr">
        <is>
          <t>H28</t>
        </is>
      </c>
      <c r="B30" s="9" t="inlineStr">
        <is>
          <t>GEN-0027</t>
        </is>
      </c>
      <c r="C30" s="9" t="inlineStr">
        <is>
          <t>ACC_AUTOPAY_FAILING</t>
        </is>
      </c>
      <c r="D30" s="9" t="inlineStr">
        <is>
          <t>account_management</t>
        </is>
      </c>
      <c r="E30" s="9" t="inlineStr">
        <is>
          <t>RESOLVE</t>
        </is>
      </c>
      <c r="F30" s="10" t="n">
        <v>0.8991</v>
      </c>
      <c r="G30" s="10" t="n">
        <v>1</v>
      </c>
      <c r="H30" s="9" t="n">
        <v>1</v>
      </c>
      <c r="I30" s="9" t="n">
        <v>5</v>
      </c>
      <c r="J30" s="9" t="n">
        <v>5</v>
      </c>
      <c r="K30" s="9" t="n">
        <v>4</v>
      </c>
      <c r="L30" s="9" t="n">
        <v>5</v>
      </c>
      <c r="M30" s="9" t="inlineStr">
        <is>
          <t>No</t>
        </is>
      </c>
    </row>
    <row r="31">
      <c r="A31" s="9" t="inlineStr">
        <is>
          <t>H29</t>
        </is>
      </c>
      <c r="B31" s="9" t="inlineStr">
        <is>
          <t>GEN-0038</t>
        </is>
      </c>
      <c r="C31" s="9" t="inlineStr">
        <is>
          <t>ACT_FIBER_NOT_PROVISIONED</t>
        </is>
      </c>
      <c r="D31" s="9" t="inlineStr">
        <is>
          <t>service_activation</t>
        </is>
      </c>
      <c r="E31" s="9" t="inlineStr">
        <is>
          <t>RESOLVE</t>
        </is>
      </c>
      <c r="F31" s="10" t="n">
        <v>0.8104</v>
      </c>
      <c r="G31" s="10" t="n">
        <v>1</v>
      </c>
      <c r="H31" s="9" t="n">
        <v>1</v>
      </c>
      <c r="I31" s="9" t="n">
        <v>5</v>
      </c>
      <c r="J31" s="9" t="n">
        <v>5</v>
      </c>
      <c r="K31" s="9" t="n">
        <v>5</v>
      </c>
      <c r="L31" s="9" t="n">
        <v>5</v>
      </c>
      <c r="M31" s="9" t="inlineStr">
        <is>
          <t>No</t>
        </is>
      </c>
    </row>
    <row r="32">
      <c r="A32" s="9" t="inlineStr">
        <is>
          <t>H30</t>
        </is>
      </c>
      <c r="B32" s="9" t="inlineStr">
        <is>
          <t>GEN-0016</t>
        </is>
      </c>
      <c r="C32" s="9" t="inlineStr">
        <is>
          <t>BILL_DOUBLE_CHARGE</t>
        </is>
      </c>
      <c r="D32" s="9" t="inlineStr">
        <is>
          <t>billing_dispute</t>
        </is>
      </c>
      <c r="E32" s="9" t="inlineStr">
        <is>
          <t>RESOLVE</t>
        </is>
      </c>
      <c r="F32" s="10" t="n">
        <v>0.8774</v>
      </c>
      <c r="G32" s="10" t="n">
        <v>1</v>
      </c>
      <c r="H32" s="9" t="n">
        <v>1</v>
      </c>
      <c r="I32" s="9" t="n">
        <v>5</v>
      </c>
      <c r="J32" s="9" t="n">
        <v>5</v>
      </c>
      <c r="K32" s="9" t="n">
        <v>5</v>
      </c>
      <c r="L32" s="9" t="n">
        <v>5</v>
      </c>
      <c r="M32" s="9" t="inlineStr">
        <is>
          <t>No</t>
        </is>
      </c>
    </row>
    <row r="33">
      <c r="A33" s="9" t="inlineStr">
        <is>
          <t>H31</t>
        </is>
      </c>
      <c r="B33" s="9" t="inlineStr">
        <is>
          <t>GEN-0026</t>
        </is>
      </c>
      <c r="C33" s="9" t="inlineStr">
        <is>
          <t>HW_ETHERNET_PORT_DEAD</t>
        </is>
      </c>
      <c r="D33" s="9" t="inlineStr">
        <is>
          <t>hardware_problem</t>
        </is>
      </c>
      <c r="E33" s="9" t="inlineStr">
        <is>
          <t>REVIEW</t>
        </is>
      </c>
      <c r="F33" s="10" t="n">
        <v>0.8444</v>
      </c>
      <c r="G33" s="10" t="n">
        <v>1</v>
      </c>
      <c r="H33" s="9" t="n">
        <v>1</v>
      </c>
      <c r="I33" s="9" t="n">
        <v>4</v>
      </c>
      <c r="J33" s="9" t="n">
        <v>4</v>
      </c>
      <c r="K33" s="9" t="n">
        <v>4</v>
      </c>
      <c r="L33" s="9" t="n">
        <v>5</v>
      </c>
      <c r="M33" s="9" t="inlineStr">
        <is>
          <t>No</t>
        </is>
      </c>
    </row>
    <row r="34">
      <c r="A34" s="9" t="inlineStr">
        <is>
          <t>H32</t>
        </is>
      </c>
      <c r="B34" s="9" t="inlineStr">
        <is>
          <t>GEN-0023</t>
        </is>
      </c>
      <c r="C34" s="9" t="inlineStr">
        <is>
          <t>CONN_DSL_LINE_NOISE</t>
        </is>
      </c>
      <c r="D34" s="9" t="inlineStr">
        <is>
          <t>connectivity_issue</t>
        </is>
      </c>
      <c r="E34" s="9" t="inlineStr">
        <is>
          <t>REVIEW</t>
        </is>
      </c>
      <c r="F34" s="10" t="n">
        <v>0.8131</v>
      </c>
      <c r="G34" s="10" t="n">
        <v>1</v>
      </c>
      <c r="H34" s="9" t="n">
        <v>1</v>
      </c>
      <c r="I34" s="9" t="n">
        <v>5</v>
      </c>
      <c r="J34" s="9" t="n">
        <v>5</v>
      </c>
      <c r="K34" s="9" t="n">
        <v>5</v>
      </c>
      <c r="L34" s="9" t="n">
        <v>5</v>
      </c>
      <c r="M34" s="9" t="inlineStr">
        <is>
          <t>No</t>
        </is>
      </c>
    </row>
    <row r="35">
      <c r="A35" s="9" t="inlineStr">
        <is>
          <t>H33</t>
        </is>
      </c>
      <c r="B35" s="9" t="inlineStr">
        <is>
          <t>GEN-0033</t>
        </is>
      </c>
      <c r="C35" s="9" t="inlineStr">
        <is>
          <t>BILL_PROMO_EXPIRED</t>
        </is>
      </c>
      <c r="D35" s="9" t="inlineStr">
        <is>
          <t>billing_dispute</t>
        </is>
      </c>
      <c r="E35" s="9" t="inlineStr">
        <is>
          <t>RESOLVE</t>
        </is>
      </c>
      <c r="F35" s="10" t="n">
        <v>0.9314</v>
      </c>
      <c r="G35" s="10" t="n">
        <v>1</v>
      </c>
      <c r="H35" s="9" t="n">
        <v>1</v>
      </c>
      <c r="I35" s="9" t="n">
        <v>5</v>
      </c>
      <c r="J35" s="9" t="n">
        <v>5</v>
      </c>
      <c r="K35" s="9" t="n">
        <v>5</v>
      </c>
      <c r="L35" s="9" t="n">
        <v>5</v>
      </c>
      <c r="M35" s="9" t="inlineStr">
        <is>
          <t>No</t>
        </is>
      </c>
    </row>
    <row r="36">
      <c r="A36" s="9" t="inlineStr">
        <is>
          <t>H34</t>
        </is>
      </c>
      <c r="B36" s="9" t="inlineStr">
        <is>
          <t>GEN-0028</t>
        </is>
      </c>
      <c r="C36" s="9" t="inlineStr">
        <is>
          <t>BILL_DOUBLE_CHARGE</t>
        </is>
      </c>
      <c r="D36" s="9" t="inlineStr">
        <is>
          <t>billing_dispute</t>
        </is>
      </c>
      <c r="E36" s="9" t="inlineStr">
        <is>
          <t>RESOLVE</t>
        </is>
      </c>
      <c r="F36" s="10" t="n">
        <v>0.87</v>
      </c>
      <c r="G36" s="10" t="n">
        <v>1</v>
      </c>
      <c r="H36" s="9" t="n">
        <v>1</v>
      </c>
      <c r="I36" s="9" t="n">
        <v>5</v>
      </c>
      <c r="J36" s="9" t="n">
        <v>5</v>
      </c>
      <c r="K36" s="9" t="n">
        <v>5</v>
      </c>
      <c r="L36" s="9" t="n">
        <v>5</v>
      </c>
      <c r="M36" s="9" t="inlineStr">
        <is>
          <t>No</t>
        </is>
      </c>
    </row>
    <row r="37">
      <c r="A37" s="9" t="inlineStr">
        <is>
          <t>H35</t>
        </is>
      </c>
      <c r="B37" s="9" t="inlineStr">
        <is>
          <t>GEN-0043</t>
        </is>
      </c>
      <c r="C37" s="9" t="inlineStr">
        <is>
          <t>BILL_PREMIUM_SMS</t>
        </is>
      </c>
      <c r="D37" s="9" t="inlineStr">
        <is>
          <t>billing_dispute</t>
        </is>
      </c>
      <c r="E37" s="9" t="inlineStr">
        <is>
          <t>RESOLVE</t>
        </is>
      </c>
      <c r="F37" s="10" t="n">
        <v>0.9649</v>
      </c>
      <c r="G37" s="10" t="n">
        <v>1</v>
      </c>
      <c r="H37" s="9" t="n">
        <v>1</v>
      </c>
      <c r="I37" s="9" t="n">
        <v>5</v>
      </c>
      <c r="J37" s="9" t="n">
        <v>5</v>
      </c>
      <c r="K37" s="9" t="n">
        <v>5</v>
      </c>
      <c r="L37" s="9" t="n">
        <v>5</v>
      </c>
      <c r="M37" s="9" t="inlineStr">
        <is>
          <t>No</t>
        </is>
      </c>
    </row>
    <row r="38">
      <c r="A38" s="9" t="inlineStr">
        <is>
          <t>H36</t>
        </is>
      </c>
      <c r="B38" s="9" t="inlineStr">
        <is>
          <t>GEN-0019</t>
        </is>
      </c>
      <c r="C38" s="9" t="inlineStr">
        <is>
          <t>PLAN_UPGRADE_NOT_APPLIED</t>
        </is>
      </c>
      <c r="D38" s="9" t="inlineStr">
        <is>
          <t>plan_change</t>
        </is>
      </c>
      <c r="E38" s="9" t="inlineStr">
        <is>
          <t>RESOLVE</t>
        </is>
      </c>
      <c r="F38" s="10" t="n">
        <v>0.9243</v>
      </c>
      <c r="G38" s="10" t="n">
        <v>1</v>
      </c>
      <c r="H38" s="9" t="n">
        <v>1</v>
      </c>
      <c r="I38" s="9" t="n">
        <v>5</v>
      </c>
      <c r="J38" s="9" t="n">
        <v>5</v>
      </c>
      <c r="K38" s="9" t="n">
        <v>5</v>
      </c>
      <c r="L38" s="9" t="n">
        <v>5</v>
      </c>
      <c r="M38" s="9" t="inlineStr">
        <is>
          <t>No</t>
        </is>
      </c>
    </row>
    <row r="39">
      <c r="A39" s="9" t="inlineStr">
        <is>
          <t>H37</t>
        </is>
      </c>
      <c r="B39" s="9" t="inlineStr">
        <is>
          <t>GEN-0034</t>
        </is>
      </c>
      <c r="C39" s="9" t="inlineStr">
        <is>
          <t>BILL_PREMIUM_SMS</t>
        </is>
      </c>
      <c r="D39" s="9" t="inlineStr">
        <is>
          <t>billing_dispute</t>
        </is>
      </c>
      <c r="E39" s="9" t="inlineStr">
        <is>
          <t>RESOLVE</t>
        </is>
      </c>
      <c r="F39" s="10" t="n">
        <v>0.9204</v>
      </c>
      <c r="G39" s="10" t="n">
        <v>1</v>
      </c>
      <c r="H39" s="9" t="n">
        <v>1</v>
      </c>
      <c r="I39" s="9" t="n">
        <v>5</v>
      </c>
      <c r="J39" s="9" t="n">
        <v>5</v>
      </c>
      <c r="K39" s="9" t="n">
        <v>4</v>
      </c>
      <c r="L39" s="9" t="n">
        <v>5</v>
      </c>
      <c r="M39" s="9" t="inlineStr">
        <is>
          <t>No</t>
        </is>
      </c>
    </row>
    <row r="40">
      <c r="A40" s="9" t="inlineStr">
        <is>
          <t>H38</t>
        </is>
      </c>
      <c r="B40" s="9" t="inlineStr">
        <is>
          <t>GEN-0031</t>
        </is>
      </c>
      <c r="C40" s="9" t="inlineStr">
        <is>
          <t>CONN_MOBILE_INDOOR_SIGNAL</t>
        </is>
      </c>
      <c r="D40" s="9" t="inlineStr">
        <is>
          <t>connectivity_issue</t>
        </is>
      </c>
      <c r="E40" s="9" t="inlineStr">
        <is>
          <t>RESOLVE</t>
        </is>
      </c>
      <c r="F40" s="10" t="n">
        <v>0.9381</v>
      </c>
      <c r="G40" s="10" t="n">
        <v>1</v>
      </c>
      <c r="H40" s="9" t="n">
        <v>0.75</v>
      </c>
      <c r="I40" s="9" t="n">
        <v>5</v>
      </c>
      <c r="J40" s="9" t="n">
        <v>5</v>
      </c>
      <c r="K40" s="9" t="n">
        <v>5</v>
      </c>
      <c r="L40" s="9" t="n">
        <v>5</v>
      </c>
      <c r="M40" s="9" t="inlineStr">
        <is>
          <t>No</t>
        </is>
      </c>
    </row>
    <row r="41">
      <c r="A41" s="9" t="inlineStr">
        <is>
          <t>H39</t>
        </is>
      </c>
      <c r="B41" s="9" t="inlineStr">
        <is>
          <t>GEN-0037</t>
        </is>
      </c>
      <c r="C41" s="9" t="inlineStr">
        <is>
          <t>TECH_EMAIL_SETUP</t>
        </is>
      </c>
      <c r="D41" s="9" t="inlineStr">
        <is>
          <t>technical_support</t>
        </is>
      </c>
      <c r="E41" s="9" t="inlineStr">
        <is>
          <t>RESOLVE</t>
        </is>
      </c>
      <c r="F41" s="10" t="n">
        <v>0.9033</v>
      </c>
      <c r="G41" s="10" t="n">
        <v>1</v>
      </c>
      <c r="H41" s="9" t="n">
        <v>1</v>
      </c>
      <c r="I41" s="9" t="n">
        <v>5</v>
      </c>
      <c r="J41" s="9" t="n">
        <v>5</v>
      </c>
      <c r="K41" s="9" t="n">
        <v>5</v>
      </c>
      <c r="L41" s="9" t="n">
        <v>5</v>
      </c>
      <c r="M41" s="9" t="inlineStr">
        <is>
          <t>No</t>
        </is>
      </c>
    </row>
    <row r="42">
      <c r="A42" s="9" t="inlineStr">
        <is>
          <t>H40</t>
        </is>
      </c>
      <c r="B42" s="9" t="inlineStr">
        <is>
          <t>GEN-0050</t>
        </is>
      </c>
      <c r="C42" s="9" t="inlineStr">
        <is>
          <t>SPEED_FIBER_PLAN_MISMATCH</t>
        </is>
      </c>
      <c r="D42" s="9" t="inlineStr">
        <is>
          <t>speed_issue</t>
        </is>
      </c>
      <c r="E42" s="9" t="inlineStr">
        <is>
          <t>RESOLVE</t>
        </is>
      </c>
      <c r="F42" s="10" t="n">
        <v>0.9086</v>
      </c>
      <c r="G42" s="10" t="n">
        <v>1</v>
      </c>
      <c r="H42" s="9" t="n">
        <v>0.75</v>
      </c>
      <c r="I42" s="9" t="n">
        <v>3</v>
      </c>
      <c r="J42" s="9" t="n">
        <v>3</v>
      </c>
      <c r="K42" s="9" t="n">
        <v>4</v>
      </c>
      <c r="L42" s="9" t="n">
        <v>3</v>
      </c>
      <c r="M42" s="9" t="inlineStr">
        <is>
          <t>No</t>
        </is>
      </c>
    </row>
    <row r="43">
      <c r="A43" s="9" t="inlineStr">
        <is>
          <t>H41</t>
        </is>
      </c>
      <c r="B43" s="9" t="inlineStr">
        <is>
          <t>GEN-0030</t>
        </is>
      </c>
      <c r="C43" s="9" t="inlineStr">
        <is>
          <t>BILL_ETF_HOME_MOVE</t>
        </is>
      </c>
      <c r="D43" s="9" t="inlineStr">
        <is>
          <t>billing_dispute</t>
        </is>
      </c>
      <c r="E43" s="9" t="inlineStr">
        <is>
          <t>RESOLVE</t>
        </is>
      </c>
      <c r="F43" s="10" t="n">
        <v>0.8686</v>
      </c>
      <c r="G43" s="10" t="n">
        <v>1</v>
      </c>
      <c r="H43" s="9" t="n">
        <v>1</v>
      </c>
      <c r="I43" s="9" t="n">
        <v>5</v>
      </c>
      <c r="J43" s="9" t="n">
        <v>5</v>
      </c>
      <c r="K43" s="9" t="n">
        <v>5</v>
      </c>
      <c r="L43" s="9" t="n">
        <v>5</v>
      </c>
      <c r="M43" s="9" t="inlineStr">
        <is>
          <t>No</t>
        </is>
      </c>
    </row>
    <row r="44">
      <c r="A44" s="9" t="inlineStr">
        <is>
          <t>H42</t>
        </is>
      </c>
      <c r="B44" s="9" t="inlineStr">
        <is>
          <t>GEN-0022</t>
        </is>
      </c>
      <c r="C44" s="9" t="inlineStr">
        <is>
          <t>ACT_5G_NOT_PROVISIONED</t>
        </is>
      </c>
      <c r="D44" s="9" t="inlineStr">
        <is>
          <t>service_activation</t>
        </is>
      </c>
      <c r="E44" s="9" t="inlineStr">
        <is>
          <t>RESOLVE</t>
        </is>
      </c>
      <c r="F44" s="10" t="n">
        <v>0.8895</v>
      </c>
      <c r="G44" s="10" t="n">
        <v>1</v>
      </c>
      <c r="H44" s="9" t="n">
        <v>0</v>
      </c>
      <c r="I44" s="9" t="n">
        <v>2</v>
      </c>
      <c r="J44" s="9" t="n">
        <v>2</v>
      </c>
      <c r="K44" s="9" t="n">
        <v>3</v>
      </c>
      <c r="L44" s="9" t="n">
        <v>2</v>
      </c>
      <c r="M44" s="9" t="inlineStr">
        <is>
          <t>No</t>
        </is>
      </c>
    </row>
    <row r="45">
      <c r="A45" s="9" t="inlineStr">
        <is>
          <t>H43</t>
        </is>
      </c>
      <c r="B45" s="9" t="inlineStr">
        <is>
          <t>GEN-0003</t>
        </is>
      </c>
      <c r="C45" s="9" t="inlineStr">
        <is>
          <t>CONN_WIFI_EVENING_INTERFERENCE</t>
        </is>
      </c>
      <c r="D45" s="9" t="inlineStr">
        <is>
          <t>connectivity_issue</t>
        </is>
      </c>
      <c r="E45" s="9" t="inlineStr">
        <is>
          <t>RESOLVE</t>
        </is>
      </c>
      <c r="F45" s="10" t="n">
        <v>0.931</v>
      </c>
      <c r="G45" s="10" t="n">
        <v>1</v>
      </c>
      <c r="H45" s="9" t="n">
        <v>0.8</v>
      </c>
      <c r="I45" s="9" t="n">
        <v>5</v>
      </c>
      <c r="J45" s="9" t="n">
        <v>4</v>
      </c>
      <c r="K45" s="9" t="n">
        <v>4</v>
      </c>
      <c r="L45" s="9" t="n">
        <v>5</v>
      </c>
      <c r="M45" s="9" t="inlineStr">
        <is>
          <t>No</t>
        </is>
      </c>
    </row>
    <row r="46">
      <c r="A46" s="9" t="inlineStr">
        <is>
          <t>H44</t>
        </is>
      </c>
      <c r="B46" s="9" t="inlineStr">
        <is>
          <t>GEN-0039</t>
        </is>
      </c>
      <c r="C46" s="9" t="inlineStr">
        <is>
          <t>OUT_PLANNED_MAINTENANCE</t>
        </is>
      </c>
      <c r="D46" s="9" t="inlineStr">
        <is>
          <t>outage_report</t>
        </is>
      </c>
      <c r="E46" s="9" t="inlineStr">
        <is>
          <t>RESOLVE</t>
        </is>
      </c>
      <c r="F46" s="10" t="n">
        <v>0.892</v>
      </c>
      <c r="G46" s="10" t="n">
        <v>1</v>
      </c>
      <c r="H46" s="9" t="n">
        <v>0</v>
      </c>
      <c r="I46" s="9" t="n">
        <v>2</v>
      </c>
      <c r="J46" s="9" t="n">
        <v>2</v>
      </c>
      <c r="K46" s="9" t="n">
        <v>3</v>
      </c>
      <c r="L46" s="9" t="n">
        <v>3</v>
      </c>
      <c r="M46" s="9" t="inlineStr">
        <is>
          <t>No</t>
        </is>
      </c>
    </row>
    <row r="47">
      <c r="A47" s="9" t="inlineStr">
        <is>
          <t>H45</t>
        </is>
      </c>
      <c r="B47" s="9" t="inlineStr">
        <is>
          <t>GEN-0042</t>
        </is>
      </c>
      <c r="C47" s="9" t="inlineStr">
        <is>
          <t>CONN_DNS_FAILURE</t>
        </is>
      </c>
      <c r="D47" s="9" t="inlineStr">
        <is>
          <t>connectivity_issue</t>
        </is>
      </c>
      <c r="E47" s="9" t="inlineStr">
        <is>
          <t>RESOLVE</t>
        </is>
      </c>
      <c r="F47" s="10" t="n">
        <v>0.8631</v>
      </c>
      <c r="G47" s="10" t="n">
        <v>1</v>
      </c>
      <c r="H47" s="9" t="n">
        <v>1</v>
      </c>
      <c r="I47" s="9" t="n">
        <v>5</v>
      </c>
      <c r="J47" s="9" t="n">
        <v>5</v>
      </c>
      <c r="K47" s="9" t="n">
        <v>5</v>
      </c>
      <c r="L47" s="9" t="n">
        <v>5</v>
      </c>
      <c r="M47" s="9" t="inlineStr">
        <is>
          <t>No</t>
        </is>
      </c>
    </row>
    <row r="48">
      <c r="A48" s="9" t="inlineStr">
        <is>
          <t>H46</t>
        </is>
      </c>
      <c r="B48" s="9" t="inlineStr">
        <is>
          <t>GEN-0046</t>
        </is>
      </c>
      <c r="C48" s="9" t="inlineStr">
        <is>
          <t>TECH_STATIC_IP</t>
        </is>
      </c>
      <c r="D48" s="9" t="inlineStr">
        <is>
          <t>technical_support</t>
        </is>
      </c>
      <c r="E48" s="9" t="inlineStr">
        <is>
          <t>RESOLVE</t>
        </is>
      </c>
      <c r="F48" s="10" t="n">
        <v>0.9502</v>
      </c>
      <c r="G48" s="10" t="n">
        <v>1</v>
      </c>
      <c r="H48" s="9" t="n">
        <v>1</v>
      </c>
      <c r="I48" s="9" t="n">
        <v>5</v>
      </c>
      <c r="J48" s="9" t="n">
        <v>5</v>
      </c>
      <c r="K48" s="9" t="n">
        <v>5</v>
      </c>
      <c r="L48" s="9" t="n">
        <v>5</v>
      </c>
      <c r="M48" s="9" t="inlineStr">
        <is>
          <t>No</t>
        </is>
      </c>
    </row>
    <row r="49">
      <c r="A49" s="9" t="inlineStr">
        <is>
          <t>H47</t>
        </is>
      </c>
      <c r="B49" s="9" t="inlineStr">
        <is>
          <t>GEN-0004</t>
        </is>
      </c>
      <c r="C49" s="9" t="inlineStr">
        <is>
          <t>OUT_PLANNED_MAINTENANCE</t>
        </is>
      </c>
      <c r="D49" s="9" t="inlineStr">
        <is>
          <t>outage_report</t>
        </is>
      </c>
      <c r="E49" s="9" t="inlineStr">
        <is>
          <t>RESOLVE</t>
        </is>
      </c>
      <c r="F49" s="10" t="n">
        <v>0.8626</v>
      </c>
      <c r="G49" s="10" t="n">
        <v>1</v>
      </c>
      <c r="H49" s="9" t="n">
        <v>1</v>
      </c>
      <c r="I49" s="9" t="n">
        <v>4</v>
      </c>
      <c r="J49" s="9" t="n">
        <v>4</v>
      </c>
      <c r="K49" s="9" t="n">
        <v>3</v>
      </c>
      <c r="L49" s="9" t="n">
        <v>5</v>
      </c>
      <c r="M49" s="9" t="inlineStr">
        <is>
          <t>No</t>
        </is>
      </c>
    </row>
    <row r="50">
      <c r="A50" s="9" t="inlineStr">
        <is>
          <t>H48</t>
        </is>
      </c>
      <c r="B50" s="9" t="inlineStr">
        <is>
          <t>GEN-0001</t>
        </is>
      </c>
      <c r="C50" s="9" t="inlineStr">
        <is>
          <t>SPEED_5G_FALLBACK</t>
        </is>
      </c>
      <c r="D50" s="9" t="inlineStr">
        <is>
          <t>speed_issue</t>
        </is>
      </c>
      <c r="E50" s="9" t="inlineStr">
        <is>
          <t>RESOLVE</t>
        </is>
      </c>
      <c r="F50" s="10" t="n">
        <v>0.896</v>
      </c>
      <c r="G50" s="10" t="n">
        <v>1</v>
      </c>
      <c r="H50" s="9" t="n">
        <v>0.75</v>
      </c>
      <c r="I50" s="9" t="n">
        <v>3</v>
      </c>
      <c r="J50" s="9" t="n">
        <v>3</v>
      </c>
      <c r="K50" s="9" t="n">
        <v>4</v>
      </c>
      <c r="L50" s="9" t="n">
        <v>3</v>
      </c>
      <c r="M50" s="9" t="inlineStr">
        <is>
          <t>No</t>
        </is>
      </c>
    </row>
    <row r="51">
      <c r="A51" s="9" t="inlineStr">
        <is>
          <t>H49</t>
        </is>
      </c>
      <c r="B51" s="9" t="inlineStr">
        <is>
          <t>GEN-0025</t>
        </is>
      </c>
      <c r="C51" s="9" t="inlineStr">
        <is>
          <t>BILL_PROMO_EXPIRED</t>
        </is>
      </c>
      <c r="D51" s="9" t="inlineStr">
        <is>
          <t>billing_dispute</t>
        </is>
      </c>
      <c r="E51" s="9" t="inlineStr">
        <is>
          <t>RESOLVE</t>
        </is>
      </c>
      <c r="F51" s="10" t="n">
        <v>0.9469</v>
      </c>
      <c r="G51" s="10" t="n">
        <v>1</v>
      </c>
      <c r="H51" s="9" t="n">
        <v>1</v>
      </c>
      <c r="I51" s="9" t="n">
        <v>5</v>
      </c>
      <c r="J51" s="9" t="n">
        <v>5</v>
      </c>
      <c r="K51" s="9" t="n">
        <v>4</v>
      </c>
      <c r="L51" s="9" t="n">
        <v>5</v>
      </c>
      <c r="M51" s="9" t="inlineStr">
        <is>
          <t>No</t>
        </is>
      </c>
    </row>
    <row r="52">
      <c r="A52" s="9" t="inlineStr">
        <is>
          <t>H50</t>
        </is>
      </c>
      <c r="B52" s="9" t="inlineStr">
        <is>
          <t>GEN-0035</t>
        </is>
      </c>
      <c r="C52" s="9" t="inlineStr">
        <is>
          <t>BILL_PROMO_EXPIRED</t>
        </is>
      </c>
      <c r="D52" s="9" t="inlineStr">
        <is>
          <t>billing_dispute</t>
        </is>
      </c>
      <c r="E52" s="9" t="inlineStr">
        <is>
          <t>RESOLVE</t>
        </is>
      </c>
      <c r="F52" s="10" t="n">
        <v>0.9784</v>
      </c>
      <c r="G52" s="10" t="n">
        <v>1</v>
      </c>
      <c r="H52" s="9" t="n">
        <v>1</v>
      </c>
      <c r="I52" s="9" t="n">
        <v>5</v>
      </c>
      <c r="J52" s="9" t="n">
        <v>5</v>
      </c>
      <c r="K52" s="9" t="n">
        <v>4</v>
      </c>
      <c r="L52" s="9" t="n">
        <v>5</v>
      </c>
      <c r="M52" s="9"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62" customWidth="1" min="1" max="1"/>
    <col width="14" customWidth="1" min="2" max="2"/>
    <col width="70" customWidth="1" min="3" max="3"/>
  </cols>
  <sheetData>
    <row r="1">
      <c r="A1" s="11" t="inlineStr">
        <is>
          <t>Open after rating is complete.</t>
        </is>
      </c>
      <c r="B1" s="11" t="n"/>
      <c r="C1" s="11" t="n"/>
    </row>
    <row r="2">
      <c r="A2" s="12" t="inlineStr">
        <is>
          <t>Metric</t>
        </is>
      </c>
      <c r="B2" s="12" t="inlineStr">
        <is>
          <t>Value</t>
        </is>
      </c>
      <c r="C2" s="12" t="inlineStr">
        <is>
          <t>How it is computed</t>
        </is>
      </c>
    </row>
    <row r="3">
      <c r="A3" s="13" t="inlineStr">
        <is>
          <t>Samples rated (correctness filled)</t>
        </is>
      </c>
      <c r="B3" s="13">
        <f>COUNT(Ratings!H3:H52)</f>
        <v/>
      </c>
      <c r="C3" s="13" t="inlineStr">
        <is>
          <t>count of numeric correctness ratings</t>
        </is>
      </c>
    </row>
    <row r="4">
      <c r="A4" s="13" t="inlineStr">
        <is>
          <t>Mean relevance (1-5)</t>
        </is>
      </c>
      <c r="B4" s="14">
        <f>IFERROR(AVERAGE(Ratings!F3:F52),"-")</f>
        <v/>
      </c>
      <c r="C4" s="13" t="inlineStr">
        <is>
          <t>average of rated rows</t>
        </is>
      </c>
    </row>
    <row r="5">
      <c r="A5" s="13" t="inlineStr">
        <is>
          <t>Mean completeness (1-5)</t>
        </is>
      </c>
      <c r="B5" s="14">
        <f>IFERROR(AVERAGE(Ratings!G3:G52),"-")</f>
        <v/>
      </c>
      <c r="C5" s="13" t="inlineStr">
        <is>
          <t>average of rated rows</t>
        </is>
      </c>
    </row>
    <row r="6">
      <c r="A6" s="13" t="inlineStr">
        <is>
          <t>Mean correctness (1-5)</t>
        </is>
      </c>
      <c r="B6" s="14">
        <f>IFERROR(AVERAGE(Ratings!H3:H52),"-")</f>
        <v/>
      </c>
      <c r="C6" s="13" t="inlineStr">
        <is>
          <t>average of rated rows</t>
        </is>
      </c>
    </row>
    <row r="7">
      <c r="A7" s="13" t="inlineStr">
        <is>
          <t>Share safe to use as-is</t>
        </is>
      </c>
      <c r="B7" s="15">
        <f>IFERROR(COUNTIF(Ratings!I3:I52,"Yes")/COUNTA(Ratings!I3:I52),"-")</f>
        <v/>
      </c>
      <c r="C7" s="13" t="inlineStr">
        <is>
          <t>Yes / answered</t>
        </is>
      </c>
    </row>
    <row r="8">
      <c r="A8" s="13" t="inlineStr">
        <is>
          <t>Human decisions: RESOLVE</t>
        </is>
      </c>
      <c r="B8" s="13">
        <f>COUNTIF(Ratings!J3:J52,"RESOLVE")</f>
        <v/>
      </c>
      <c r="C8" s="13" t="inlineStr"/>
    </row>
    <row r="9">
      <c r="A9" s="13" t="inlineStr">
        <is>
          <t>Human decisions: REVIEW</t>
        </is>
      </c>
      <c r="B9" s="13">
        <f>COUNTIF(Ratings!J3:J52,"REVIEW")</f>
        <v/>
      </c>
      <c r="C9" s="13" t="inlineStr"/>
    </row>
    <row r="10">
      <c r="A10" s="13" t="inlineStr">
        <is>
          <t>Human decisions: ESCALATE</t>
        </is>
      </c>
      <c r="B10" s="13">
        <f>COUNTIF(Ratings!J3:J52,"ESCALATE")</f>
        <v/>
      </c>
      <c r="C10" s="13" t="inlineStr"/>
    </row>
    <row r="11">
      <c r="A11" s="13" t="inlineStr">
        <is>
          <t>System decisions: RESOLVE</t>
        </is>
      </c>
      <c r="B11" s="13">
        <f>COUNTIF(System!E3:E52,"RESOLVE")</f>
        <v/>
      </c>
      <c r="C11" s="13" t="inlineStr">
        <is>
          <t>from the hidden System sheet</t>
        </is>
      </c>
    </row>
    <row r="12">
      <c r="A12" s="13" t="inlineStr">
        <is>
          <t>System decisions: REVIEW</t>
        </is>
      </c>
      <c r="B12" s="13">
        <f>COUNTIF(System!E3:E52,"REVIEW")</f>
        <v/>
      </c>
      <c r="C12" s="13" t="inlineStr"/>
    </row>
    <row r="13">
      <c r="A13" s="13" t="inlineStr">
        <is>
          <t>System decisions: ESCALATE</t>
        </is>
      </c>
      <c r="B13" s="13">
        <f>COUNTIF(System!E3:E52,"ESCALATE")</f>
        <v/>
      </c>
      <c r="C13" s="13" t="inlineStr"/>
    </row>
    <row r="14">
      <c r="A14" s="13" t="inlineStr">
        <is>
          <t>Decision agreement (human = system)</t>
        </is>
      </c>
      <c r="B14" s="15">
        <f>IFERROR(SUMPRODUCT((Ratings!J3:J52&lt;&gt;"")*(Ratings!J3:J52=System!E3:E52))/COUNTA(Ratings!J3:J52),"-")</f>
        <v/>
      </c>
      <c r="C14" s="13" t="inlineStr">
        <is>
          <t>share of answered rows where your decision equals the system's</t>
        </is>
      </c>
    </row>
    <row r="15">
      <c r="A15" s="13" t="inlineStr">
        <is>
          <t>Share safe, among system RESOLVE</t>
        </is>
      </c>
      <c r="B15" s="15">
        <f>IFERROR(SUMPRODUCT((System!E3:E52="RESOLVE")*(Ratings!I3:I52="Yes"))/SUMPRODUCT((System!E3:E52="RESOLVE")*(Ratings!I3:I52&lt;&gt;"")),"-")</f>
        <v/>
      </c>
      <c r="C15" s="13" t="inlineStr">
        <is>
          <t>precision of RESOLVE: how often an auto-resolved draft was actually safe</t>
        </is>
      </c>
    </row>
    <row r="16">
      <c r="A16" s="13" t="inlineStr">
        <is>
          <t>Mean human correctness | system RESOLVE</t>
        </is>
      </c>
      <c r="B16" s="14">
        <f>IFERROR(AVERAGEIFS(Ratings!H3:H52,System!E3:E52,"RESOLVE"),"-")</f>
        <v/>
      </c>
      <c r="C16" s="13" t="inlineStr">
        <is>
          <t>should be highest</t>
        </is>
      </c>
    </row>
    <row r="17">
      <c r="A17" s="13" t="inlineStr">
        <is>
          <t>Mean human correctness | system REVIEW</t>
        </is>
      </c>
      <c r="B17" s="14">
        <f>IFERROR(AVERAGEIFS(Ratings!H3:H52,System!E3:E52,"REVIEW"),"-")</f>
        <v/>
      </c>
      <c r="C17" s="13" t="inlineStr"/>
    </row>
    <row r="18">
      <c r="A18" s="13" t="inlineStr">
        <is>
          <t>Mean human correctness | system ESCALATE</t>
        </is>
      </c>
      <c r="B18" s="14">
        <f>IFERROR(AVERAGEIFS(Ratings!H3:H52,System!E3:E52,"ESCALATE"),"-")</f>
        <v/>
      </c>
      <c r="C18" s="13" t="inlineStr">
        <is>
          <t>should be lowest</t>
        </is>
      </c>
    </row>
    <row r="19">
      <c r="A19" s="13" t="inlineStr">
        <is>
          <t>Mean LLM-judge correctness (same 50 drafts)</t>
        </is>
      </c>
      <c r="B19" s="14">
        <f>IFERROR(AVERAGE(System!L3:L52),"-")</f>
        <v/>
      </c>
      <c r="C19" s="13" t="inlineStr">
        <is>
          <t>compare with mean human correctness</t>
        </is>
      </c>
    </row>
    <row r="20">
      <c r="A20" s="13" t="inlineStr">
        <is>
          <t>Correlation: human vs LLM-judge correctness</t>
        </is>
      </c>
      <c r="B20" s="14">
        <f>IFERROR(CORREL(Ratings!H3:H52,System!L3:L52),"-")</f>
        <v/>
      </c>
      <c r="C20" s="13" t="inlineStr">
        <is>
          <t>Pearson over rated rows; validates the LLM judge</t>
        </is>
      </c>
    </row>
    <row r="21">
      <c r="A21" s="13" t="inlineStr">
        <is>
          <t>Correlation: human correctness vs heuristic confidence</t>
        </is>
      </c>
      <c r="B21" s="14">
        <f>IFERROR(CORREL(Ratings!H3:H52,System!F3:F52),"-")</f>
        <v/>
      </c>
      <c r="C21" s="13" t="inlineStr">
        <is>
          <t>does the confidence score track quality?</t>
        </is>
      </c>
    </row>
    <row r="22">
      <c r="A22" s="13" t="inlineStr">
        <is>
          <t>Correlation: human completeness vs auto reference-step recall</t>
        </is>
      </c>
      <c r="B22" s="14">
        <f>IFERROR(CORREL(Ratings!G3:G52,System!H3:H52),"-")</f>
        <v/>
      </c>
      <c r="C22" s="13" t="inlineStr">
        <is>
          <t>validates the automatic recall metric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2026-10-04T18:52:00Z</dcterms:created>
  <dcterms:modified xsi:type="dcterms:W3CDTF">2026-10-04T18:54:28Z</dcterms:modified>
</cp:coreProperties>
</file>