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Ratings" sheetId="2" state="visible" r:id="rId2"/>
    <sheet name="System" sheetId="3" state="hidden" r:id="rId3"/>
    <sheet name="Summary"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name val="Arial"/>
      <b val="1"/>
      <sz val="12"/>
    </font>
    <font>
      <name val="Arial"/>
      <sz val="10"/>
    </font>
    <font>
      <name val="Arial"/>
      <b val="1"/>
      <sz val="10"/>
    </font>
    <font>
      <name val="Arial"/>
      <b val="1"/>
      <color rgb="00FFFFFF"/>
      <sz val="10"/>
    </font>
    <font>
      <name val="Arial"/>
      <i val="1"/>
      <color rgb="00595959"/>
      <sz val="9"/>
    </font>
    <font>
      <name val="Arial"/>
      <sz val="9"/>
    </font>
    <font>
      <name val="Arial"/>
      <b val="1"/>
      <i val="1"/>
      <sz val="10"/>
    </font>
  </fonts>
  <fills count="5">
    <fill>
      <patternFill/>
    </fill>
    <fill>
      <patternFill patternType="gray125"/>
    </fill>
    <fill>
      <patternFill patternType="solid">
        <fgColor rgb="001F3864"/>
      </patternFill>
    </fill>
    <fill>
      <patternFill patternType="solid">
        <fgColor rgb="00EDEDED"/>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2" fillId="4" borderId="1" applyAlignment="1" pivotButton="0" quotePrefix="0" xfId="0">
      <alignment horizontal="center" vertical="top" wrapText="1"/>
    </xf>
    <xf numFmtId="0" fontId="5" fillId="0" borderId="0" pivotButton="0" quotePrefix="0" xfId="0"/>
    <xf numFmtId="0" fontId="6" fillId="0" borderId="1" pivotButton="0" quotePrefix="0" xfId="0"/>
    <xf numFmtId="164" fontId="6" fillId="0" borderId="1" pivotButton="0" quotePrefix="0" xfId="0"/>
    <xf numFmtId="0" fontId="7" fillId="0" borderId="0" applyAlignment="1" pivotButton="0" quotePrefix="0" xfId="0">
      <alignment vertical="top" wrapText="1"/>
    </xf>
    <xf numFmtId="0" fontId="4" fillId="2" borderId="0" applyAlignment="1" pivotButton="0" quotePrefix="0" xfId="0">
      <alignment vertical="top" wrapText="1"/>
    </xf>
    <xf numFmtId="0" fontId="2" fillId="0" borderId="1" applyAlignment="1" pivotButton="0" quotePrefix="0" xfId="0">
      <alignment vertical="top" wrapText="1"/>
    </xf>
    <xf numFmtId="2" fontId="2" fillId="0" borderId="1" applyAlignment="1" pivotButton="0" quotePrefix="0" xfId="0">
      <alignment vertical="top" wrapText="1"/>
    </xf>
    <xf numFmtId="165"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builder</author>
  </authors>
  <commentList>
    <comment ref="A2" authorId="0" shapeId="0">
      <text>
        <t>Worked example showing the expected format. Not counted.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Human evaluation of draft resolutions (50 samples)</t>
        </is>
      </c>
    </row>
    <row r="2">
      <c r="A2" s="2" t="inlineStr"/>
    </row>
    <row r="3">
      <c r="A3" s="2" t="inlineStr">
        <is>
          <t>Purpose: check whether the system's drafts are actually useful and safe, and whether its RESOLVE / REVIEW / ESCALATE decisions match what a support agent would do. Your ratings also calibrate the heuristic confidence score and validate the automatic LLM-judge scores.</t>
        </is>
      </c>
    </row>
    <row r="4">
      <c r="A4" s="2" t="inlineStr"/>
    </row>
    <row r="5">
      <c r="A5" s="3" t="inlineStr">
        <is>
          <t>How to rate (Ratings sheet, about 1 minute per row):</t>
        </is>
      </c>
    </row>
    <row r="6">
      <c r="A6" s="2" t="inlineStr">
        <is>
          <t>1. Read the complaint (column B), then the draft (column D). Citations like [3] refer to the numbered sources in column C.</t>
        </is>
      </c>
    </row>
    <row r="7">
      <c r="A7" s="2" t="inlineStr">
        <is>
          <t>2. Use the reference fix (column E) as the ground truth for what actually resolves this issue.</t>
        </is>
      </c>
    </row>
    <row r="8">
      <c r="A8" s="2" t="inlineStr">
        <is>
          <t>3. Fill ONLY the yellow cells (F to K). Each has a dropdown, except Notes.</t>
        </is>
      </c>
    </row>
    <row r="9">
      <c r="A9" s="2" t="inlineStr">
        <is>
          <t>4. Row 2 is a worked EXAMPLE (grey) showing the expected format; it is not counted.</t>
        </is>
      </c>
    </row>
    <row r="10">
      <c r="A10" s="2" t="inlineStr">
        <is>
          <t>5. Rate independently: do not unhide the 'System' sheet or open 'Summary' until all rows are done.</t>
        </is>
      </c>
    </row>
    <row r="11">
      <c r="A11" s="2" t="inlineStr"/>
    </row>
    <row r="12">
      <c r="A12" s="3" t="inlineStr">
        <is>
          <t>Rubric</t>
        </is>
      </c>
    </row>
    <row r="13">
      <c r="A13" s="2" t="inlineStr">
        <is>
          <t>Relevance (1-5): does the draft address this customer's actual problem? 1 = wrong problem, 5 = exactly it.</t>
        </is>
      </c>
    </row>
    <row r="14">
      <c r="A14" s="2" t="inlineStr">
        <is>
          <t>Completeness (1-5): are the key steps of the reference fix present? 1 = none, 5 = all essential steps.</t>
        </is>
      </c>
    </row>
    <row r="15">
      <c r="A15" s="2" t="inlineStr">
        <is>
          <t>Correctness (1-5): are the steps right and safe? 1 = wrong or harmful advice, 5 = fully correct.</t>
        </is>
      </c>
    </row>
    <row r="16">
      <c r="A16" s="2" t="inlineStr">
        <is>
          <t>Safe to use as-is (Yes/No): would you send these steps to the customer without editing?</t>
        </is>
      </c>
    </row>
    <row r="17">
      <c r="A17" s="2" t="inlineStr">
        <is>
          <t>Your decision: RESOLVE = use the draft; REVIEW = usable after an agent checks or edits it; ESCALATE = not usable, needs a specialist.</t>
        </is>
      </c>
    </row>
    <row r="18">
      <c r="A18" s="2" t="inlineStr">
        <is>
          <t>Empty drafts (the system declined): rate relevance/completeness/correctness as 1 and give your decision for the case (ESCALATE if declining was right).</t>
        </is>
      </c>
    </row>
    <row r="19">
      <c r="A19" s="2" t="inlineStr">
        <is>
          <t>Notes (optional): anything wrong or notable, e.g. 'step 2 contradicts the fix', 'wrong scenario'.</t>
        </is>
      </c>
    </row>
    <row r="20">
      <c r="A20" s="2" t="inlineStr"/>
    </row>
    <row r="21">
      <c r="A21" s="2" t="inlineStr">
        <is>
          <t>Legend: yellow cell = your input. Grey row = example. Blue header = system-provided content.</t>
        </is>
      </c>
    </row>
    <row r="22">
      <c r="A22" s="2" t="inlineStr">
        <is>
          <t>When done: save the file and run  python evaluation/human_eval_analysis.py</t>
        </is>
      </c>
    </row>
    <row r="23">
      <c r="A23" s="2" t="inlineStr">
        <is>
          <t>Provenance: drafts from Groq qwen/qwen3.8-27b (eval run in experiments/results/generation_llm.json); sources re-retrieved with the production retriever and verified against that run; sample seed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70" customWidth="1" min="3" max="3"/>
    <col width="60" customWidth="1" min="4" max="4"/>
    <col width="50" customWidth="1" min="5" max="5"/>
    <col width="11" customWidth="1" min="6" max="6"/>
    <col width="13" customWidth="1" min="7" max="7"/>
    <col width="12" customWidth="1" min="8" max="8"/>
    <col width="11" customWidth="1" min="9" max="9"/>
    <col width="13" customWidth="1" min="10" max="10"/>
    <col width="30" customWidth="1" min="11" max="11"/>
  </cols>
  <sheetData>
    <row r="1" ht="42" customHeight="1">
      <c r="A1" s="4" t="inlineStr">
        <is>
          <t>Sample</t>
        </is>
      </c>
      <c r="B1" s="4" t="inlineStr">
        <is>
          <t>Customer complaint</t>
        </is>
      </c>
      <c r="C1" s="4" t="inlineStr">
        <is>
          <t>Sources the draft could cite</t>
        </is>
      </c>
      <c r="D1" s="4" t="inlineStr">
        <is>
          <t>Draft resolution (system)</t>
        </is>
      </c>
      <c r="E1" s="4" t="inlineStr">
        <is>
          <t>Reference fix (ground truth)</t>
        </is>
      </c>
      <c r="F1" s="4" t="inlineStr">
        <is>
          <t>Relevance
(1-5)</t>
        </is>
      </c>
      <c r="G1" s="4" t="inlineStr">
        <is>
          <t>Completeness
(1-5)</t>
        </is>
      </c>
      <c r="H1" s="4" t="inlineStr">
        <is>
          <t>Correctness
(1-5)</t>
        </is>
      </c>
      <c r="I1" s="4" t="inlineStr">
        <is>
          <t>Safe to use
as-is?</t>
        </is>
      </c>
      <c r="J1" s="4" t="inlineStr">
        <is>
          <t>Your decision</t>
        </is>
      </c>
      <c r="K1" s="4" t="inlineStr">
        <is>
          <t>Notes</t>
        </is>
      </c>
    </row>
    <row r="2">
      <c r="A2" s="5" t="inlineStr">
        <is>
          <t>EX</t>
        </is>
      </c>
      <c r="B2" s="5" t="inlineStr">
        <is>
          <t>I can't set up my voicemail, callers just hear it ring out.</t>
        </is>
      </c>
      <c r="C2" s="5" t="inlineStr">
        <is>
          <t>[1] ticket TKT-001501: Complaint: my voicemail isn't working… Resolution: Activate voicemail on the line…
[2] KB-0032 Setting up voicemail: 1. Activate voicemail… 2. Set call diversion on no answer…</t>
        </is>
      </c>
      <c r="D2" s="5" t="inlineStr">
        <is>
          <t>1. Activate voicemail on the line from the account system [1][2]
2. Set call diversion on no answer to the voicemail number [2]</t>
        </is>
      </c>
      <c r="E2" s="5" t="inlineStr">
        <is>
          <t>- Activate voicemail on the line
- Set call diversion on no answer
- Reset the voicemail PIN and send it by SMS</t>
        </is>
      </c>
      <c r="F2" s="5" t="n">
        <v>4</v>
      </c>
      <c r="G2" s="5" t="n">
        <v>3</v>
      </c>
      <c r="H2" s="5" t="n">
        <v>5</v>
      </c>
      <c r="I2" s="5" t="inlineStr">
        <is>
          <t>Yes</t>
        </is>
      </c>
      <c r="J2" s="5" t="inlineStr">
        <is>
          <t>RESOLVE</t>
        </is>
      </c>
      <c r="K2" s="5" t="inlineStr">
        <is>
          <t>Example only: missing the PIN reset step.</t>
        </is>
      </c>
    </row>
    <row r="3" ht="230" customHeight="1">
      <c r="A3" s="6" t="inlineStr">
        <is>
          <t>H01</t>
        </is>
      </c>
      <c r="B3" s="6" t="inlineStr">
        <is>
          <t>To whom it may concern, Indoors the bars on my handset vanish and people can't reach me. My partner's phone on another network works. Let me know what to do. Regards.</t>
        </is>
      </c>
      <c r="C3" s="6" t="inlineStr">
        <is>
          <t>[1] ticket TKT-000182: Complaint: Good morning, Calls drop as soon as I walk indoors and the phone shows one bar. Let me know what to do. Regards. Resolution: Caller described poor indoor mobile coverage and wi-fi calling. Root cause: Weak indoor cover…
[2] ticket TKT-000175: Complaint: To whom it may concern, Calls drop as soon as I walk indoors and the phone shows one bar. The house has thick stone walls. I've already removed the case. It has been happening since Monday. Honestly this is ridiculous …
[3] ticket TKT-000135: Complaint: Calls drop as soon as I walk indoors and the phone shows one bar. We recently moved. I've already restarted the phone. It has been happening since last month. Very frustrating, please sort it out. Regards. Resolution: …
[4] ticket TKT-000131: Complaint: Hi there, Calls drop as soon as I walk indoors and the phone shows one bar. I can't watch anything in the evenings. Honestly this is ridiculous and I'm close to leaving. Resolution: Caller described poor indoor mobile …
[5] ticket TKT-000151: Complaint: Calls drop as soon as I walk indoors and the phone shows one bar. We recently moved. I've already restarted the phone. It has been happening for three days. It's really disruptive. Can you look into it? Resolution: Cal…
[6] ticket TKT-000172: Complaint: Hi, I have no mobile signal inside my house. It has been happening since Monday. Let me know what to do. Resolution: Customer reported poor indoor mobile coverage and wi-fi calling. Check the coverage map for the custo…
[7] kb article KB-0004: Poor indoor mobile coverage and Wi-Fi Calling Applies to: mobile_service. Typical symptoms: I have no mobile signal inside my house; calls drop as soon as I walk indoors and the phone shows one bar. Cause: Weak indoor coverage du…
[8] kb article KB-0038: Mobile mast outage in the area Applies to: mobile_service. Typical symptoms: there's no mobile service anywhere in town today; my phone and everyone else's has no signal in this area. Cause: Mobile mast (cell site) outage or main…</t>
        </is>
      </c>
      <c r="D3" s="6" t="inlineStr">
        <is>
          <t>1. Check the coverage map for the customer's address to identify weak indoor coverage due to building materials or distance from the mast. [1][2][3][4][5][6][7]
2. Enable Wi-Fi Calling on the handset so calls route over home broadband. [1][2][3][4][5][6][7]
3. Make sure the phone software and carrier settings are up to date. [1][2][4][6][7]
4. Offer an indoor signal booster or femtocell if Wi-Fi Calling is not possible. [1][2][4][7]
5. If these steps do not resolve the issue, escalate to second-line support with the results of each step. [7]</t>
        </is>
      </c>
      <c r="E3" s="6" t="inlineStr">
        <is>
          <t>- Check the coverage map for the customer's address
- Enable Wi-Fi Calling on the handset so calls route over home broadband
- Make sure the phone software and carrier settings are up to date
- Offer an indoor signal booster or femtocell if Wi-Fi Calling is not possible</t>
        </is>
      </c>
      <c r="F3" s="7" t="n"/>
      <c r="G3" s="7" t="n"/>
      <c r="H3" s="7" t="n"/>
      <c r="I3" s="7" t="n"/>
      <c r="J3" s="7" t="n"/>
      <c r="K3" s="7" t="n"/>
    </row>
    <row r="4" ht="230" customHeight="1">
      <c r="A4" s="6" t="inlineStr">
        <is>
          <t>H02</t>
        </is>
      </c>
      <c r="B4" s="6" t="inlineStr">
        <is>
          <t>Good morning, I've lost access to my customer area and the reset link doesn't arrive. I've already tried resetting the password. My kids need it for school work. What are my options? Cheers.</t>
        </is>
      </c>
      <c r="C4" s="6" t="inlineStr">
        <is>
          <t>[1] ticket TKT-001648: Complaint: Hi there, I forgot my password and can't log in. I use the app. It has been happening since Monday. My kids need it for school work. Please advise. Resolution: Investigated locked out of the online account. Verify the …
[2] ticket TKT-001650: Complaint: Hi, My account got locked after too many login attempts. I changed my email address. It has been happening since Monday. My kids need it for school work. This is completely unacceptable. Cheers. Resolution: Customer re…
[3] ticket TKT-000910: Complaint: Hi there, I factory reset my router and now there's no internet. It was a third-party router. I've already tried the default password. It has been happening since yesterday. My kids need it for school work. Can you loo…
[4] ticket TKT-001637: Complaint: I can't sign in to the app any more. I use the app. It has been happening since Monday. My kids need it for school work. Honestly this is ridiculous and I'm close to leaving. Thanks. Resolution: Customer reported locke…
[5] ticket TKT-000916: Complaint: I factory reset my router and now there's no internet. I lost the sticker with details. I've already checked cables. It has been happening since Monday. My kids need it for school work. Very frustrating, please sort it…
[6] ticket TKT-000912: Complaint: Good morning, I factory reset my router and now there's no internet. It was a third-party router. I've already restarted it again. It has been happening for two weeks. My kids need it for school work. I'm really fed up…
[7] kb article KB-0033: Locked out of the online account Applies to: account_portal. Typical symptoms: I'm locked out of my online account; I forgot my password and can't log in. Cause: Account locked after failed attempts or outdated recovery details. …
[8] kb article KB-0019: No internet after a router factory reset Applies to: router, broadband. Typical symptoms: I factory reset my router and now there's no internet; after pressing the reset button the router connects to wifi but not the internet. Ca…</t>
        </is>
      </c>
      <c r="D4" s="6" t="inlineStr">
        <is>
          <t>1. Verify the customer's identity using security questions to confirm their account ownership. [1][2][4][7]
2. Unlock the customer's online account to remove the lockout status. [1][2][4][7]
3. Send a new password reset link to the customer's registered contact method. [1][2][4][7]
4. Update the recovery email or mobile number if the current details are outdated, which may be why the reset link is not arriving. [1][7]
5. If the account remains inaccessible after the above steps, escalate the issue to second-line support with the results of each step. [7]</t>
        </is>
      </c>
      <c r="E4" s="6" t="inlineStr">
        <is>
          <t>- Verify the customer's identity with security questions
- Unlock the account and send a password reset link
- Update the recovery email or mobile number if it is outdated</t>
        </is>
      </c>
      <c r="F4" s="7" t="n"/>
      <c r="G4" s="7" t="n"/>
      <c r="H4" s="7" t="n"/>
      <c r="I4" s="7" t="n"/>
      <c r="J4" s="7" t="n"/>
      <c r="K4" s="7" t="n"/>
    </row>
    <row r="5" ht="230" customHeight="1">
      <c r="A5" s="6" t="inlineStr">
        <is>
          <t>H03</t>
        </is>
      </c>
      <c r="B5" s="6" t="inlineStr">
        <is>
          <t>The network indicator never switches to the faster mode I'm paying for, downloads are poor. I got the phone abroad. I've already reset network settings. It has been happening since Monday. Thanks in advance, you've always been helpful. Regards.</t>
        </is>
      </c>
      <c r="C5" s="6" t="inlineStr">
        <is>
          <t>[1] ticket TKT-000428: Complaint: 5G icon never appears and mobile data is sluggish. My colleague gets 5G in the same office. I've already restarted the phone. It has been happening since Monday. Thanks in advance, you've always been helpful. Thanks. R…
[2] ticket TKT-001302: Complaint: Good morning, I upgraded my broadband package but the speed hasn't changed. The upgrade was three days ago. It has been happening since yesterday. This is completely unacceptable. Thanks. Resolution: Investigated speed…
[3] ticket TKT-000438: Complaint: 5G icon never appears and mobile data is sluggish. It's really disruptive. Appreciate your help as always! Cheers. Resolution: Caller described phone stuck on 4g with a 5g plan. Agent action: Set the phone's preferred …
[4] ticket TKT-001266: Complaint: Hi, I upgraded my broadband package but the speed hasn't changed. I got a confirmation email. It has been happening since last month. Thanks in advance, you've always been helpful. Thanks. Resolution: Caller described …
[5] ticket TKT-000282: Complaint: To whom it may concern, Speed tests show a fraction of my plan speed in the evenings. Wired speed tests are slow too. I've already restarted the router. Appreciate your help as always! Resolution: Ticket raised for slo…
[6] ticket TKT-000427: Complaint: 5G icon never appears and mobile data is sluggish. Can you look into it? Resolution: Customer reported phone stuck on 4g with a 5g plan. Root cause: 5G disabled in handset settings, outdated carrier settings, or an old…
[7] kb article KB-0026: Speed upgrade not applied Applies to: broadband. Typical symptoms: I upgraded my broadband package but the speed hasn't changed; I'm paying for the faster plan now but still getting my old speed. Cause: New speed profile not yet …
[8] kb article KB-0007: Slow broadband at peak evening hours Applies to: broadband. Typical symptoms: my broadband gets very slow every evening between evening and 11; internet speed drops massively at peak times in the evening. Cause: Network congestio…</t>
        </is>
      </c>
      <c r="D5" s="6" t="inlineStr">
        <is>
          <t>1. Confirm the upgrade order is complete and the new speed profile is applied to the account [2][4][7].
2. Ask the customer to restart the router so the line re-syncs at the new profile [2][4][7].
3. Run a line check to confirm the synced speed matches the new plan [2][4][7].
4. If the profile is not applied, escalate to provisioning [2][4][7].
5. If the issue persists after the above steps, escalate to second-line support with the results of each step [7].</t>
        </is>
      </c>
      <c r="E5"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5" s="7" t="n"/>
      <c r="G5" s="7" t="n"/>
      <c r="H5" s="7" t="n"/>
      <c r="I5" s="7" t="n"/>
      <c r="J5" s="7" t="n"/>
      <c r="K5" s="7" t="n"/>
    </row>
    <row r="6" ht="230" customHeight="1">
      <c r="A6" s="6" t="inlineStr">
        <is>
          <t>H04</t>
        </is>
      </c>
      <c r="B6" s="6" t="inlineStr">
        <is>
          <t>Hey, Come nightfall my downloads slow to a trickle across every device in the house. It has been like this for weeks. I've already ran speed tests. It has been happening for two weeks. I work from home and keep missing client calls. Very frustrating, please sort it out. Cheers.</t>
        </is>
      </c>
      <c r="C6" s="6" t="inlineStr">
        <is>
          <t>[1] ticket TKT-000295: Complaint: Hello, Streaming buffers every night even though speeds are fine in the morning. I've already ran speed tests. It has been happening for about a week. I work from home and keep missing client calls. Thank you, your sup…
[2] ticket TKT-000289: Complaint: Hello, Speed tests show a fraction of my plan speed in the evenings. The whole street seems affected. I've already disconnected other devices. I work from home and keep missing client calls. This is completely unaccept…
[3] ticket TKT-000288: Complaint: Hey, My broadband gets very slow every evening between 9pm and 11. The whole street seems affected. I've already ran speed tests. I work from home and keep missing client calls. Thank you, your support has been great b…
[4] ticket TKT-001287: Complaint: Hey, The upgrade went through on my bill but the line speed is the same. The upgrade was three days ago. I've already ran speed tests. It has been happening since Monday. I work from home and keep missing client calls.…
[5] ticket TKT-000292: Complaint: Streaming buffers every night even though speeds are fine in the morning. Wired speed tests are slow too. I work from home and keep missing client calls. I'm really fed up with this. Resolution: Caller described slow b…
[6] ticket TKT-000286: Complaint: Hey, My broadband gets very slow every evening between half past seven and 11. Wired speed tests are slow too. I work from home and keep missing client calls. Let me know what to do. Regards. Resolution: Customer repor…
[7] kb article KB-0007: Slow broadband at peak evening hours Applies to: broadband. Typical symptoms: my broadband gets very slow every evening between evening and 11; internet speed drops massively at peak times in the evening. Cause: Network congestio…
[8] kb article KB-0010: Mobile data slowed after reaching the usage allowance Applies to: mobile_service. Typical symptoms: my mobile data became extremely slow halfway through the month; data speed dropped to almost nothing after I used a lot this mont…</t>
        </is>
      </c>
      <c r="D6" s="6" t="inlineStr">
        <is>
          <t>1. Run a wired speed test at peak and off-peak times to confirm the slowdown is network-side. [1][3][5][6][7]
2. Check the network capacity dashboard for congestion on the customer's cabinet. [1][3][5][6][7]
3. Raise a congestion ticket with the network team if utilisation is above threshold. [1][2][3][6][7]
4. Enable QoS on the router to prioritise video calls during peak hours. [1][2][3][6][7]
5. If these steps do not resolve the issue, escalate to second-line support with the results of each step. [7]</t>
        </is>
      </c>
      <c r="E6" s="6" t="inlineStr">
        <is>
          <t>- Run a wired speed test at peak and off-peak times to confirm the slowdown is network-side
- Check the network capacity dashboard for congestion on the customer's cabinet
- Raise a congestion ticket with the network team if utilisation is above threshold
- Enable QoS on the router to prioritise video calls during peak hours</t>
        </is>
      </c>
      <c r="F6" s="7" t="n"/>
      <c r="G6" s="7" t="n"/>
      <c r="H6" s="7" t="n"/>
      <c r="I6" s="7" t="n"/>
      <c r="J6" s="7" t="n"/>
      <c r="K6" s="7" t="n"/>
    </row>
    <row r="7" ht="230" customHeight="1">
      <c r="A7" s="6" t="inlineStr">
        <is>
          <t>H05</t>
        </is>
      </c>
      <c r="B7" s="6" t="inlineStr">
        <is>
          <t>Good morning, A penalty for leaving the contract early was applied even though I relocated. The fee is over 100. My kids need it for school work. Please advise. Thanks.</t>
        </is>
      </c>
      <c r="C7" s="6" t="inlineStr">
        <is>
          <t>[1] ticket TKT-000732: Complaint: Hi there, An exit fee appeared on my final bill after relocating. I've already read the terms. My kids need it for school work. I'm really fed up with this. Thanks. Resolution: Investigated early termination fees when …
[2] ticket TKT-000760: Complaint: I was charged an early termination fee because I moved house. I've already asked about moving the service. My kids need it for school work. Very frustrating, please sort it out. Cheers. Resolution: Caller described ear…
[3] ticket TKT-000744: Complaint: I'm disputing the early cancellation charge since I had to move. I was offered no alternative. I've already checked the contract. It has been happening for two weeks. My kids need it for school work. Thank you, your su…
[4] ticket TKT-000765: Complaint: An exit fee appeared on my final bill after relocating. The new address has no coverage. It has been happening for three days. My kids need it for school work. Thank you, your support has been great before. Thanks. Res…
[5] ticket TKT-000740: Complaint: I'm disputing the early cancellation charge since I had to move. I've already read the terms. It has been happening since yesterday. My kids need it for school work. This is completely unacceptable. Cheers. Resolution:…
[6] ticket TKT-000734: Complaint: Good morning, I was charged an early termination fee because I moved house. I was offered no alternative. It has been happening since yesterday. My kids need it for school work. Can you look into it? Resolution: Caller…
[7] kb article KB-0016: Early termination fees when moving home Applies to: billing_system, broadband. Typical symptoms: I was charged an early termination fee because I moved house; you billed me a cancellation fee when I moved to an area you don't cov…
[8] kb article KB-0015: Charged after cancelling a service Applies to: billing_system. Typical symptoms: I cancelled my service last month but you're still billing me; I'm still being charged even though I closed my account. Cause: The cancellation was …</t>
        </is>
      </c>
      <c r="D7" s="6" t="inlineStr">
        <is>
          <t>1. Check whether the service is available at the customer's new address. [2][3][4][5][6][7]
2. If the service is unavailable at the new address, waive the early termination fee under the home-move policy. [2][3][4][5][6][7]
3. If the service is available at the new address, offer to transfer the contract to the new address instead. [1][2][4][5][7]
4. Issue a corrected final bill to remove the early termination fee. [1][2][5][7]
5. If the issue is not resolved by the above steps, escalate to second-line support with the results of each step. [7]</t>
        </is>
      </c>
      <c r="E7" s="6" t="inlineStr">
        <is>
          <t>- Check whether the service is available at the customer's new address
- If service is unavailable at the new address, waive the early termination fee under the home-move policy
- If service is available, offer to transfer the contract to the new address instead
- Issue a corrected final bill</t>
        </is>
      </c>
      <c r="F7" s="7" t="n"/>
      <c r="G7" s="7" t="n"/>
      <c r="H7" s="7" t="n"/>
      <c r="I7" s="7" t="n"/>
      <c r="J7" s="7" t="n"/>
      <c r="K7" s="7" t="n"/>
    </row>
    <row r="8" ht="230" customHeight="1">
      <c r="A8" s="6" t="inlineStr">
        <is>
          <t>H06</t>
        </is>
      </c>
      <c r="B8" s="6" t="inlineStr">
        <is>
          <t>Hi, The security code you text me for signing in simply never shows up. I've already requested the code several times. It has been happening since Monday. I run my business from home and this is costing me money. Please advise.</t>
        </is>
      </c>
      <c r="C8" s="6" t="inlineStr">
        <is>
          <t>[1] ticket TKT-001694: Complaint: Hello, The login code text isn't being delivered to my phone. I changed my number recently. It has been happening since Monday. I run my business from home and this is costing me money. Thanks in advance, you've always…
[2] ticket TKT-001684: Complaint: Hi, The login code text isn't being delivered to my phone. I've already requested the code several times. It has been happening since yesterday. I can't watch anything in the evenings. I'm really fed up with this. Chee…
[3] ticket TKT-001666: Complaint: The login code text isn't being delivered to my phone. I'm abroad. I've already requested the code several times. Thank you, your support has been great before. Regards. Resolution: Customer reported one-time passcode …
[4] ticket TKT-001662: Complaint: Hello, The login code text isn't being delivered to my phone. I'm abroad. I've already requested the code several times. I'm really fed up with this. Resolution: Investigated one-time passcode not received. Check the m…
[5] ticket TKT-001709: Complaint: The login code text isn't being delivered to my phone. I'm abroad. I've already requested the code several times. This is completely unacceptable. Cheers. Resolution: Investigated one-time passcode not received. Root c…
[6] ticket TKT-001671: Complaint: Good morning, The login code text isn't being delivered to my phone. I'm abroad. I've already requested the code several times. Please advise. Regards. Resolution: Investigated one-time passcode not received. Root caus…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is>
      </c>
      <c r="D8" s="6" t="inlineStr">
        <is>
          <t>1. Check the mobile number registered for two-factor authentication to ensure it is current and correct. [1][2][3][4][5][6][7]
2. If the registered number is outdated, update it after completing the required identity verification. [1][2][3][4][5][6][7]
3. Check the customer's handset for any SMS blocking or spam filtering that might be preventing the code from arriving. [1][4][7]
4. Offer an alternative verification method, such as email or an authenticator app, to allow the customer to sign in while the SMS issue is resolved. [1][4][6][7]
5. If the issue persists after these steps, escalate the ticket to second-line support with the results of each step. [7]</t>
        </is>
      </c>
      <c r="E8" s="6" t="inlineStr">
        <is>
          <t>- Check the mobile number registered for two-factor authentication
- Update the number after identity verification if it is outdated
- Offer email or authenticator-app verification as an alternative
- Check for SMS blocking or spam filtering on the handset</t>
        </is>
      </c>
      <c r="F8" s="7" t="n"/>
      <c r="G8" s="7" t="n"/>
      <c r="H8" s="7" t="n"/>
      <c r="I8" s="7" t="n"/>
      <c r="J8" s="7" t="n"/>
      <c r="K8" s="7" t="n"/>
    </row>
    <row r="9" ht="230" customHeight="1">
      <c r="A9" s="6" t="inlineStr">
        <is>
          <t>H07</t>
        </is>
      </c>
      <c r="B9" s="6" t="inlineStr">
        <is>
          <t>To whom it may concern, The glass connection was put in days ago and still hasn't gone live. I've already rebooted the router. It has been happening for about a week. Thanks in advance, you've always been helpful. Regards.</t>
        </is>
      </c>
      <c r="C9" s="6" t="inlineStr">
        <is>
          <t>[1] ticket TKT-002032: Complaint: Good morning, Service cut out late last night and came back in the morning. It's only overnight. I've already restarted the router. It has been happening for about a week. Thank you, your support has been great before.…
[2] ticket TKT-002018: Complaint: The connection was down between midnight and 4am. I've already restarted the router. My kids need it for school work. Very frustrating, please sort it out. Resolution: Ticket raised for overnight outages from planned m…
[3] ticket TKT-000773: Complaint: Hi, The router randomly restarts and is very hot to touch. It's in a closed cabinet. It has been happening since Monday. Thanks in advance, you've always been helpful. Regards. Resolution: Investigated router rebooting…
[4] ticket TKT-002006: Complaint: To whom it may concern, The connection was down between midnight and 4am. I've already restarted the router. It has been happening since last month. My kids need it for school work. Very frustrating, please sort it out…
[5] ticket TKT-002015: Complaint: Hi there, The connection was down between midnight and 4am. It's only overnight. I've already restarted the router. Thank you, your support has been great before. Resolution: Ticket raised for overnight outages from pl…
[6] ticket TKT-002043: Complaint: The connection was down between midnight and 4am. It's only overnight. I've already restarted the router. I run my business from home and this is costing me money. Can you look into it? Regards. Resolution: Caller desc…
[7] kb article KB-0017: Router rebooting on its own Applies to: router. Typical symptoms: my router keeps rebooting itself several times a day; the router randomly restarts and is very hot to touch. Cause: Overheating or a failing power supply causing s…
[8] kb article KB-0001: Fixing evening Wi-Fi dropouts caused by channel interference Applies to: router, broadband. Typical symptoms: my wifi keeps dropping out every evening around evening; the wireless connection cuts out repeatedly at night but the b…</t>
        </is>
      </c>
      <c r="D9" s="6" t="inlineStr">
        <is>
          <t>(no steps: the system declined) The provided sources do not address a new 'glass' (fiber) connection that has not gone live. The sources cover overnight outages due to planned maintenance, router overheating/rebooting, and Wi-Fi channel interference, none of which match the complaint.</t>
        </is>
      </c>
      <c r="E9"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9" s="7" t="n"/>
      <c r="G9" s="7" t="n"/>
      <c r="H9" s="7" t="n"/>
      <c r="I9" s="7" t="n"/>
      <c r="J9" s="7" t="n"/>
      <c r="K9" s="7" t="n"/>
    </row>
    <row r="10" ht="230" customHeight="1">
      <c r="A10" s="6" t="inlineStr">
        <is>
          <t>H08</t>
        </is>
      </c>
      <c r="B10" s="6" t="inlineStr">
        <is>
          <t>Good morning, I held down the little pinhole button on the hub and since then the web is gone. I've already restarted it again. It has been happening since Monday. I'm really fed up with this.</t>
        </is>
      </c>
      <c r="C10" s="6" t="inlineStr">
        <is>
          <t>[1] ticket TKT-000232: Complaint: Hi there, My internet shows connected but websites won't load. The error says DNS_PROBE_FINISHED. I've already cleared the browser cache. It has been happening since Monday. I'm really fed up with this. Resolution: Cus…
[2] ticket TKT-000818: Complaint: Hello, My hub restarts by itself and drops everyone off the internet. It sits on top of the set-top box. I've already factory reset it. It has been happening since Monday. I'm really fed up with this. Cheers. Resolutio…
[3] ticket TKT-000248: Complaint: Hi, I can't browse any sites although the router says it is online. I've already tried another browser. I'm really fed up with this. Resolution: Ticket raised for connected but no websites load (dns errors). Root cause…
[4] ticket TKT-000236: Complaint: Hello, I can't browse any sites although the router says it is online. It happens on all devices. It has been happening since last month. My kids need it for school work. Please advise. Regards. Resolution: Ticket rais…
[5] ticket TKT-000233: Complaint: Hello, I can't browse any sites although the router says it is online. It happens on all devices. I've already cleared the browser cache. My kids need it for school work. Please advise. Thanks. Resolution: Customer rep…
[6] ticket TKT-000211: Complaint: I can't browse any sites although the router says it is online. It happens on all devices. This is completely unacceptable. Cheers. Resolution: Investigated connected but no websites load (dns errors). Walked customer …
[7] kb article KB-0037: Area-wide broadband outage Applies to: fiber, broadband. Typical symptoms: the whole neighbourhood has lost internet since this morning; nobody on our street has broadband right now. Cause: Network outage, e.g. a fibre cable cut …
[8] kb article KB-0006: Connected but no websites load (DNS errors) Applies to: broadband. Typical symptoms: my internet shows connected but websites won't load; I can't browse any sites although the router says it is online. Cause: DNS resolution failu…</t>
        </is>
      </c>
      <c r="D10" s="6" t="inlineStr">
        <is>
          <t>1. Confirm the issue is DNS by pinging an IP address such as 8.8.8.8. [3][4][5][6][8]
2. Flush the DNS cache on the device (ipconfig /flushdns on Windows). [3][4][5][6][8]
3. Set the router's DNS servers to automatic, or to a public resolver such as 1.1.1.1 and 8.8.8.8. [4][6][8]
4. Restart the router after changing DNS settings. [6][8]
5. If the issue persists, escalate to second-line support with the results of each step. [7][8]</t>
        </is>
      </c>
      <c r="E10" s="6" t="inlineStr">
        <is>
          <t>- Log in to the router admin page using the default credentials on the label
- Re-enter the broadband PPPoE username and password from the account
- Set the WAN VLAN ID required by the network if using a third-party router
- Reconfigure the Wi-Fi name and password</t>
        </is>
      </c>
      <c r="F10" s="7" t="n"/>
      <c r="G10" s="7" t="n"/>
      <c r="H10" s="7" t="n"/>
      <c r="I10" s="7" t="n"/>
      <c r="J10" s="7" t="n"/>
      <c r="K10" s="7" t="n"/>
    </row>
    <row r="11" ht="230" customHeight="1">
      <c r="A11" s="6" t="inlineStr">
        <is>
          <t>H09</t>
        </is>
      </c>
      <c r="B11" s="6" t="inlineStr">
        <is>
          <t>Each time someone calls the house the web stops working for a minute. I've already swapped the phone cable. I'm really fed up with this. Thanks.</t>
        </is>
      </c>
      <c r="C11" s="6" t="inlineStr">
        <is>
          <t>[1] ticket TKT-000065: Complaint: To whom it may concern, There is crackling on the landline and the internet drops at the same time. The house has several phone sockets. I've already swapped the phone cable. It's really disruptive. Can you look into i…
[2] ticket TKT-000062: Complaint: Hi there, There is crackling on the landline and the internet drops at the same time. I've already swapped the phone cable. We take card payments through this connection and the shop can't trade. Very frustrating, plea…
[3] ticket TKT-000176: Complaint: Hey, I have no mobile signal inside my house. It has been happening for two weeks. I'm really fed up with this. Thanks. Resolution: Caller described poor indoor mobile coverage and wi-fi calling. Walked customer throug…
[4] ticket TKT-000046: Complaint: Hi there, There is crackling on the landline and the internet drops at the same time. I've already swapped the phone cable. Let me know what to do. Thanks. Resolution: Ticket raised for broadband drops when the phone r…
[5] ticket TKT-000137: Complaint: Hi there, I have no mobile signal inside my house. I've already restarted the phone. I run my business from home and this is costing me money. Honestly this is ridiculous and I'm close to leaving. Resolution: Caller de…
[6] ticket TKT-000172: Complaint: Hi, I have no mobile signal inside my house. It has been happening since Monday. Let me know what to do. Resolution: Customer reported poor indoor mobile coverage and wi-fi calling. Check the coverage map for the custo…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is>
      </c>
      <c r="D11" s="6" t="inlineStr">
        <is>
          <t>1. Fit a microfilter on every phone socket that has a phone or device plugged in. [1][4][8]
2. Connect the modem to the master socket using the test socket to bypass internal wiring. [1][4][8]
3. Run a remote line test from the support system to check for noise and line faults. [1][8]
4. If the line test fails, book an engineer visit to repair the line. [1][8]
5. If the issue persists after the above steps, escalate to second-line support with the results of each step. [8]</t>
        </is>
      </c>
      <c r="E11" s="6" t="inlineStr">
        <is>
          <t>- Fit a microfilter on every phone socket that has a phone or device plugged in
- Connect the modem to the master socket using the test socket to bypass internal wiring
- Run a remote line test from the support system to check for noise and line faults
- If the line test fails, book an engineer visit to repair the line</t>
        </is>
      </c>
      <c r="F11" s="7" t="n"/>
      <c r="G11" s="7" t="n"/>
      <c r="H11" s="7" t="n"/>
      <c r="I11" s="7" t="n"/>
      <c r="J11" s="7" t="n"/>
      <c r="K11" s="7" t="n"/>
    </row>
    <row r="12" ht="230" customHeight="1">
      <c r="A12" s="6" t="inlineStr">
        <is>
          <t>H10</t>
        </is>
      </c>
      <c r="B12" s="6" t="inlineStr">
        <is>
          <t>Hi there, I have to stand in the garden to make a call, the house is a dead zone. My partner's phone on another network works. It has been happening for three days. I work from home and keep missing client calls. Let me know what to do.</t>
        </is>
      </c>
      <c r="C12" s="6" t="inlineStr">
        <is>
          <t>[1] ticket TKT-000163: Complaint: My mobile has poor reception at home but works fine outside. I work from home and keep missing client calls. Let me know what to do. Resolution: Ticket raised for poor indoor mobile coverage and wi-fi calling. Advised …
[2] ticket TKT-000130: Complaint: Hi, Calls drop as soon as I walk indoors and the phone shows one bar. The house has thick stone walls. It has been happening for two weeks. I work from home and keep missing client calls. What are my options? Resolutio…
[3] ticket TKT-000169: Complaint: Hi, Calls drop as soon as I walk indoors and the phone shows one bar. The house has thick stone walls. I've already restarted the phone. It has been happening since Monday. I work from home and keep missing client call…
[4] ticket TKT-000172: Complaint: Hi, I have no mobile signal inside my house. It has been happening since Monday. Let me know what to do. Resolution: Customer reported poor indoor mobile coverage and wi-fi calling. Check the coverage map for the custo…
[5] ticket TKT-000128: Complaint: Hi there, Calls drop as soon as I walk indoors and the phone shows one bar. We recently moved. I've already removed the case. I work from home and keep missing client calls. Thanks in advance, you've always been helpfu…
[6] ticket TKT-001802: Complaint: Nobody on our street has broadband right now. There are roadworks nearby. I've already looked online. I work from home and keep missing client calls. Let me know what to do. Resolution: Customer reported area-wide broa…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is>
      </c>
      <c r="D12" s="6" t="inlineStr">
        <is>
          <t>1. Check the coverage map for the customer's address to confirm if the area has weak indoor mobile coverage. [1][2][3][4][5][7]
2. Enable Wi-Fi Calling on the customer's handset so that calls route over the home broadband connection. [1][2][3][4][5][7]
3. Make sure the phone software and carrier settings are up to date. [1][3][4][5][7]
4. If Wi-Fi Calling is not possible, offer an indoor signal booster or femtocell to improve indoor reception. [1][7]</t>
        </is>
      </c>
      <c r="E12" s="6" t="inlineStr">
        <is>
          <t>- Check the coverage map for the customer's address
- Enable Wi-Fi Calling on the handset so calls route over home broadband
- Make sure the phone software and carrier settings are up to date
- Offer an indoor signal booster or femtocell if Wi-Fi Calling is not possible</t>
        </is>
      </c>
      <c r="F12" s="7" t="n"/>
      <c r="G12" s="7" t="n"/>
      <c r="H12" s="7" t="n"/>
      <c r="I12" s="7" t="n"/>
      <c r="J12" s="7" t="n"/>
      <c r="K12" s="7" t="n"/>
    </row>
    <row r="13" ht="230" customHeight="1">
      <c r="A13" s="6" t="inlineStr">
        <is>
          <t>H11</t>
        </is>
      </c>
      <c r="B13" s="6" t="inlineStr">
        <is>
          <t>To whom it may concern, A penalty for leaving the contract early was applied even though I relocated. I've already checked the contract. It has been happening since last month. It's really disruptive. I'm really fed up with this. Thanks.</t>
        </is>
      </c>
      <c r="C13" s="6" t="inlineStr">
        <is>
          <t>[1] ticket TKT-000753: Complaint: I was charged an early termination fee because I moved house. I've already checked the contract. It has been happening for two weeks. I'm really fed up with this. Cheers. Resolution: Caller described early termination …
[2] ticket TKT-000742: Complaint: I'm disputing the early cancellation charge since I had to move. I've already checked the contract. It's really disruptive. Please advise. Resolution: Customer reported early termination fees when moving home. Root cau…
[3] ticket TKT-000761: Complaint: To whom it may concern, An exit fee appeared on my final bill after relocating. I've already checked the contract. It has been happening since yesterday. This is completely unacceptable. Cheers. Resolution: Investigate…
[4] ticket TKT-000731: Complaint: Hello, I'm disputing the early cancellation charge since I had to move. I've already asked about moving the service. It's really disruptive. I'm really fed up with this. Regards. Resolution: Investigated early terminat…
[5] ticket TKT-000747: Complaint: Hi, I was charged an early termination fee because I moved house. I was offered no alternative. I've already checked the contract. I'm really fed up with this. Cheers. Resolution: Investigated early termination fees wh…
[6] ticket TKT-000745: Complaint: Hi, An exit fee appeared on my final bill after relocating. The new address has no coverage. I've already checked the contract. I can't watch anything in the evenings. I'm really fed up with this. Thanks. Resolution: I…
[7] kb article KB-0016: Early termination fees when moving home Applies to: billing_system, broadband. Typical symptoms: I was charged an early termination fee because I moved house; you billed me a cancellation fee when I moved to an area you don't cov…
[8] kb article KB-0027: Downgrading a plan during the minimum term Applies to: billing_system. Typical symptoms: I want to move to a cheaper plan but was told I can't; how can I downgrade my package to save money. Cause: Downgrades within the minimum te…</t>
        </is>
      </c>
      <c r="D13" s="6" t="inlineStr">
        <is>
          <t>1. Check whether the service is available at the customer's new address. [1][2][3][4][5][6][7]
2. If the service is unavailable at the new address, waive the early termination fee under the home-move policy. [1][2][3][4][5][6][7]
3. If the service is available at the new address, offer to transfer the contract to the new address instead. [2][3][5][7]
4. Issue a corrected final bill. [2][3][5][7]</t>
        </is>
      </c>
      <c r="E13" s="6" t="inlineStr">
        <is>
          <t>- Check whether the service is available at the customer's new address
- If service is unavailable at the new address, waive the early termination fee under the home-move policy
- If service is available, offer to transfer the contract to the new address instead
- Issue a corrected final bill</t>
        </is>
      </c>
      <c r="F13" s="7" t="n"/>
      <c r="G13" s="7" t="n"/>
      <c r="H13" s="7" t="n"/>
      <c r="I13" s="7" t="n"/>
      <c r="J13" s="7" t="n"/>
      <c r="K13" s="7" t="n"/>
    </row>
    <row r="14" ht="230" customHeight="1">
      <c r="A14" s="6" t="inlineStr">
        <is>
          <t>H12</t>
        </is>
      </c>
      <c r="B14" s="6" t="inlineStr">
        <is>
          <t>Good morning, The network indicator never switches to the faster mode I'm paying for, downloads are poor. It has been happening for about a week. Very frustrating, please sort it out.</t>
        </is>
      </c>
      <c r="C14" s="6" t="inlineStr">
        <is>
          <t>[1] ticket TKT-001302: Complaint: Good morning, I upgraded my broadband package but the speed hasn't changed. The upgrade was three days ago. It has been happening since yesterday. This is completely unacceptable. Thanks. Resolution: Investigated speed…
[2] ticket TKT-000282: Complaint: To whom it may concern, Speed tests show a fraction of my plan speed in the evenings. Wired speed tests are slow too. I've already restarted the router. Appreciate your help as always! Resolution: Ticket raised for slo…
[3] ticket TKT-001266: Complaint: Hi, I upgraded my broadband package but the speed hasn't changed. I got a confirmation email. It has been happening since last month. Thanks in advance, you've always been helpful. Thanks. Resolution: Caller described …
[4] ticket TKT-001286: Complaint: Hi, I upgraded my broadband package but the speed hasn't changed. I've already used a cable. It's really disruptive. Can you look into it? Resolution: Customer reported speed upgrade not applied. Root cause: New speed …
[5] ticket TKT-000309: Complaint: Good morning, Internet speed drops massively at peak times in the evening. I've already disconnected other devices. It has been happening since yesterday. This is completely unacceptable. Regards. Resolution: Ticket ra…
[6] kb article KB-0026: Speed upgrade not applied Applies to: broadband. Typical symptoms: I upgraded my broadband package but the speed hasn't changed; I'm paying for the faster plan now but still getting my old speed. Cause: New speed profile not yet …
[7] ticket TKT-000294: Complaint: Speed tests show a fraction of my plan speed in the evenings. Wired speed tests are slow too. It has been happening for three days. I can't watch anything in the evenings. Thank you, your support has been great before.…
[8] kb article KB-0007: Slow broadband at peak evening hours Applies to: broadband. Typical symptoms: my broadband gets very slow every evening between evening and 11; internet speed drops massively at peak times in the evening. Cause: Network congestio…</t>
        </is>
      </c>
      <c r="D14" s="6" t="inlineStr">
        <is>
          <t>1. Confirm the upgrade order is complete and the new speed profile is applied to the line. [1][3][4][6]
2. Ask the customer to restart the router so the line re-syncs at the new speed profile. [1][3][4][6]
3. Run a line check to confirm the synced speed matches the new profile. [1][3][4][6]
4. If the profile is not applied, escalate the issue to provisioning. [1][3][4][6]
5. Run a wired speed test at peak and off-peak times to confirm if the slowdown is network-side. [2][5][7][8]
6. Check the network capacity dashboard for congestion on the customer's cabinet. [2][5][7][8]</t>
        </is>
      </c>
      <c r="E14"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14" s="7" t="n"/>
      <c r="G14" s="7" t="n"/>
      <c r="H14" s="7" t="n"/>
      <c r="I14" s="7" t="n"/>
      <c r="J14" s="7" t="n"/>
      <c r="K14" s="7" t="n"/>
    </row>
    <row r="15" ht="230" customHeight="1">
      <c r="A15" s="6" t="inlineStr">
        <is>
          <t>H13</t>
        </is>
      </c>
      <c r="B15" s="6" t="inlineStr">
        <is>
          <t>Good morning, The glass connection was put in days ago and still hasn't gone live. I've already checked the cables. It has been happening since Monday. Please advise.</t>
        </is>
      </c>
      <c r="C15" s="6" t="inlineStr">
        <is>
          <t>[1] ticket TKT-000120: Complaint: The optical network terminal shows LOS in red and nothing connects. The cable runs behind a cupboard. I can't watch anything in the evenings. Honestly this is ridiculous and I'm close to leaving. Cheers. Resolution: Cu…
[2] ticket TKT-000118: Complaint: Good morning, The optical network terminal shows LOS in red and nothing connects. It has been happening since Monday. I'm really fed up with this. Cheers. Resolution: Caller described red los light on the fibre ont. Ch…
[3] ticket TKT-000110: Complaint: Hey, Fiber connection lost, the ONT PON light is off and LOS is red. The cable runs behind a cupboard. I've already power cycled the ONT. It has been happening since Monday. I work from home and keep missing client cal…
[4] ticket TKT-000095: Complaint: No internet at all, the fiber box on the wall shows a red light. The cable runs behind a cupboard. I've already checked the power socket. It has been happening since last month. Can you look into it? Resolution: Invest…
[5] ticket TKT-000115: Complaint: To whom it may concern, The optical network terminal shows LOS in red and nothing connects. I've already power cycled the ONT. It has been happening since Monday. What are my options? Regards. Resolution: Caller descri…
[6] ticket TKT-000103: Complaint: Good morning, Fiber connection lost, the ONT PON light is off and LOS is red. The cable runs behind a cupboard. I've already checked the power socket. It has been happening for about a week. Honestly this is ridiculous…
[7] kb article KB-0003: Red LOS light on the fibre ONT Applies to: fiber. Typical symptoms: my fibre is completely down and the ONT has a red LOS light; no internet at all, the fiber box on the wall shows a red light. Cause: Loss of optical signal, typi…
[8] kb article KB-0018: Modem has no power lights Applies to: modem. Typical symptoms: my modem is completely dead with no lights at all; the modem won't turn on, the power light stays off. Cause: Failed power adapter or modem hardware failure, often af…</t>
        </is>
      </c>
      <c r="D15" s="6" t="inlineStr">
        <is>
          <t>1. Check the thin fibre cable into the ONT for sharp bends, kinks or pinching and straighten it. [1][2][3][4][5][6][7]
2. Make sure the green fibre connector is fully clicked into the ONT port without touching the fibre end. [1][2][3][4][5][6][7]
3. Check the outage map for a fibre fault in the area. [1][2][3][4][5][6][7]
4. If the LOS light stays red, raise a fibre fault and dispatch a field engineer. [1][2][4][5][6][7]
5. If the issue is not resolved by the above steps, escalate to second-line support with the results of each step. [7]</t>
        </is>
      </c>
      <c r="E15"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15" s="7" t="n"/>
      <c r="G15" s="7" t="n"/>
      <c r="H15" s="7" t="n"/>
      <c r="I15" s="7" t="n"/>
      <c r="J15" s="7" t="n"/>
      <c r="K15" s="7" t="n"/>
    </row>
    <row r="16" ht="230" customHeight="1">
      <c r="A16" s="6" t="inlineStr">
        <is>
          <t>H14</t>
        </is>
      </c>
      <c r="B16" s="6" t="inlineStr">
        <is>
          <t>The device that connects us to the internet shows no signs of life whatsoever. I've already pressed the power button. It has been happening since Monday. It's really disruptive. This is completely unacceptable. Regards.</t>
        </is>
      </c>
      <c r="C16" s="6" t="inlineStr">
        <is>
          <t>[1] ticket TKT-002029: Complaint: To whom it may concern, My internet goes off in the middle of the night for a few hours. I work night shifts. I've already restarted the router. It has been happening since Monday. Very frustrating, please sort it out.…
[2] ticket TKT-001869: Complaint: To whom it may concern, Internet is down across the entire estate. It started around 9am. I've already looked online. It's really disruptive. Appreciate your help as always! Regards. Resolution: Ticket raised for area-…
[3] ticket TKT-001815: Complaint: To whom it may concern, Internet is down across the entire estate. I've already restarted the router. It has been happening since last month. Can you look into it? Resolution: Customer reported area-wide broadband outa…
[4] ticket TKT-002000: Complaint: My internet goes off in the middle of the night for a few hours. It has been happening since Monday. It's really disruptive. Let me know what to do. Cheers. Resolution: Investigated overnight outages from planned maint…
[5] ticket TKT-002008: Complaint: To whom it may concern, My internet goes off in the middle of the night for a few hours. I work night shifts. It has been happening for two weeks. Please advise. Resolution: Ticket raised for overnight outages from pla…
[6] ticket TKT-001842: Complaint: Hi, Internet is down across the entire estate. It started around 9am. It has been happening since Monday. Honestly this is ridiculous and I'm close to leaving. Thanks. Resolution: Ticket raised for area-wide broadband …
[7] kb article KB-0040: Overnight outages from planned maintenance Applies to: broadband. Typical symptoms: my internet goes off in the middle of the night for a few hours; the connection was down between midnight and 4am. Cause: Planned network mainten…
[8] kb article KB-0018: Modem has no power lights Applies to: modem. Typical symptoms: my modem is completely dead with no lights at all; the modem won't turn on, the power light stays off. Cause: Failed power adapter or modem hardware failure, often af…</t>
        </is>
      </c>
      <c r="D16" s="6" t="inlineStr">
        <is>
          <t>1. Confirm the wall socket works and the power adapter is firmly connected to the modem. [8]
2. Test the modem with a compatible replacement power adapter if available. [8]
3. If the modem still has no lights, send a replacement modem by next-day delivery. [8]
4. Offer a mobile data hotspot while the replacement modem is in transit. [8]
5. If the issue is not resolved by the replacement modem, escalate to second-line support with the results of each step. [8]</t>
        </is>
      </c>
      <c r="E16" s="6" t="inlineStr">
        <is>
          <t>- Confirm the wall socket works and the power adapter is firmly connected
- Test with a compatible replacement power adapter if available
- If the modem still has no lights, send a replacement modem by next-day delivery
- Offer a mobile data hotspot while the replacement is in transit</t>
        </is>
      </c>
      <c r="F16" s="7" t="n"/>
      <c r="G16" s="7" t="n"/>
      <c r="H16" s="7" t="n"/>
      <c r="I16" s="7" t="n"/>
      <c r="J16" s="7" t="n"/>
      <c r="K16" s="7" t="n"/>
    </row>
    <row r="17" ht="230" customHeight="1">
      <c r="A17" s="6" t="inlineStr">
        <is>
          <t>H15</t>
        </is>
      </c>
      <c r="B17" s="6" t="inlineStr">
        <is>
          <t>Hi, The glass connection was put in days ago and still hasn't gone live. I've already rebooted the router. It has been happening for about a week. Can you look into it? Thanks.</t>
        </is>
      </c>
      <c r="C17" s="6" t="inlineStr">
        <is>
          <t>[1] ticket TKT-000984: Complaint: Hi, My PC gets no connection when plugged into the router's LAN port. I've already restarted the router. It has been happening for three days. This is completely unacceptable. Resolution: Customer did not respond to fo…
[2] ticket TKT-002015: Complaint: Hi there, The connection was down between midnight and 4am. It's only overnight. I've already restarted the router. Thank you, your support has been great before. Resolution: Ticket raised for overnight outages from pl…
[3] ticket TKT-000978: Complaint: Hello, My PC gets no connection when plugged into the router's LAN port. I've already used a different cable. It has been happening for three days. I run my business from home and this is costing me money. Thank you, y…
[4] ticket TKT-002032: Complaint: Good morning, Service cut out late last night and came back in the morning. It's only overnight. I've already restarted the router. It has been happening for about a week. Thank you, your support has been great before.…
[5] ticket TKT-002018: Complaint: The connection was down between midnight and 4am. I've already restarted the router. My kids need it for school work. Very frustrating, please sort it out. Resolution: Ticket raised for overnight outages from planned m…
[6] ticket TKT-002006: Complaint: To whom it may concern, The connection was down between midnight and 4am. I've already restarted the router. It has been happening since last month. My kids need it for school work. Very frustrating, please sort it out…
[7] kb article KB-0017: Router rebooting on its own Applies to: router. Typical symptoms: my router keeps rebooting itself several times a day; the router randomly restarts and is very hot to touch. Cause: Overheating or a failing power supply causing s…
[8] kb article KB-0001: Fixing evening Wi-Fi dropouts caused by channel interference Applies to: router, broadband. Typical symptoms: my wifi keeps dropping out every evening around evening; the wireless connection cuts out repeatedly at night but the b…</t>
        </is>
      </c>
      <c r="D17" s="6" t="inlineStr">
        <is>
          <t>(no steps: the system declined) The provided sources do not address a complaint about a newly installed glass (fiber) connection that has not gone live after a week. The sources cover overnight outages, LAN port issues, router reboots, and Wi-Fi dropouts, none of which match the specific issue of a new connection not being activated.</t>
        </is>
      </c>
      <c r="E17"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17" s="7" t="n"/>
      <c r="G17" s="7" t="n"/>
      <c r="H17" s="7" t="n"/>
      <c r="I17" s="7" t="n"/>
      <c r="J17" s="7" t="n"/>
      <c r="K17" s="7" t="n"/>
    </row>
    <row r="18" ht="230" customHeight="1">
      <c r="A18" s="6" t="inlineStr">
        <is>
          <t>H16</t>
        </is>
      </c>
      <c r="B18" s="6" t="inlineStr">
        <is>
          <t>To whom it may concern, You debited my card for the subscription on two occasions this cycle. I'm now overdrawn. I've already called my bank. It has been happening since last month. Very frustrating, please sort it out. Cheers.</t>
        </is>
      </c>
      <c r="C18" s="6" t="inlineStr">
        <is>
          <t>[1] ticket TKT-001787: Complaint: To whom it may concern, My direct debit didn't go through this month. I got a new card recently. It has been happening for two weeks. I can't watch anything in the evenings. This is completely unacceptable. Cheers. Res…
[2] ticket TKT-001768: Complaint: Good morning, My direct debit didn't go through this month. I got a new card recently. I've already tried to log in. It has been happening since Monday. This is completely unacceptable. Thanks. Resolution: Caller descr…
[3] ticket TKT-001792: Complaint: My direct debit didn't go through this month. I've already tried to log in. It has been happening since yesterday. Honestly this is ridiculous and I'm close to leaving. Cheers. Resolution: Customer reported automatic p…
[4] ticket TKT-000690: Complaint: To whom it may concern, I cancelled my service last month but you're still billing me. I have the cancellation confirmation email. I've already checked my email confirmation. It has been happening for two weeks. It's r…
[5] ticket TKT-001759: Complaint: My direct debit didn't go through this month. My bank changed. I've already checked my bank. It has been happening for about a week. This is completely unacceptable. Cheers. Resolution: Customer reported automatic paym…
[6] ticket TKT-000515: Complaint: Good morning, The monthly payment was taken two times from my account. It has been happening since yesterday. We take card payments through this connection and the shop can't trade. This is completely unacceptable. Reg…
[7] kb article KB-0015: Charged after cancelling a service Applies to: billing_system. Typical symptoms: I cancelled my service last month but you're still billing me; I'm still being charged even though I closed my account. Cause: The cancellation was …
[8] kb article KB-0013: Unrecognised third-party and premium SMS charges Applies to: billing_system, mobile_service. Typical symptoms: there are charges for premium text services I never signed up for; my phone bill has third-party subscription charges …</t>
        </is>
      </c>
      <c r="D18" s="6" t="inlineStr">
        <is>
          <t>1. Check the payment failure reason code to identify why the automatic payment failed. [1][2][3][5]
2. Update the card or bank details on the account to ensure the correct payment method is on file. [1][2][3][5]
3. Take a one-off payment for the outstanding balance to clear the current cycle's charges. [1][2][5]
4. Waive the late fee as a one-time courtesy if it was the first failure. [1]</t>
        </is>
      </c>
      <c r="E18" s="6" t="inlineStr">
        <is>
          <t>- Verify both transactions in the payments ledger and confirm they are for the same invoice
- Raise a refund for the duplicate payment to the original payment method
- Tell the customer refunds take 5-7 working days to appear
- Offer a goodwill credit if the customer incurred bank charges</t>
        </is>
      </c>
      <c r="F18" s="7" t="n"/>
      <c r="G18" s="7" t="n"/>
      <c r="H18" s="7" t="n"/>
      <c r="I18" s="7" t="n"/>
      <c r="J18" s="7" t="n"/>
      <c r="K18" s="7" t="n"/>
    </row>
    <row r="19" ht="230" customHeight="1">
      <c r="A19" s="6" t="inlineStr">
        <is>
          <t>H17</t>
        </is>
      </c>
      <c r="B19" s="6" t="inlineStr">
        <is>
          <t>I work night shifts and the home connection keeps vanishing after midnight. I've already restarted the router. I can't watch anything in the evenings. I'm really fed up with this. Cheers.</t>
        </is>
      </c>
      <c r="C19" s="6" t="inlineStr">
        <is>
          <t>[1] ticket TKT-002011: Complaint: To whom it may concern, Service cut out late last night and came back in the morning. I work night shifts. I've already restarted the router. It has been happening since last month. I can't watch anything in the evenin…
[2] ticket TKT-001997: Complaint: Hello, My internet goes off in the middle of the night for a few hours. I work night shifts. I've already restarted the router. My kids need it for school work. Thanks in advance, you've always been helpful. Cheers. Re…
[3] ticket TKT-002017: Complaint: Hi, Every night this week the broadband stopped working overnight. I work night shifts. I've already restarted the router. It has been happening since last month. I can't watch anything in the evenings. Please advise. …
[4] ticket TKT-002023: Complaint: My internet goes off in the middle of the night for a few hours. It's only overnight. I've already restarted the router. It has been happening since last month. I can't watch anything in the evenings. Appreciate your h…
[5] ticket TKT-002006: Complaint: To whom it may concern, The connection was down between midnight and 4am. I've already restarted the router. It has been happening since last month. My kids need it for school work. Very frustrating, please sort it out…
[6] ticket TKT-002042: Complaint: To whom it may concern, My internet goes off in the middle of the night for a few hours. It's only overnight. I've already restarted the router. It has been happening for three days. I work from home and keep missing c…
[7] kb article KB-0001: Fixing evening Wi-Fi dropouts caused by channel interference Applies to: router, broadband. Typical symptoms: my wifi keeps dropping out every evening around evening; the wireless connection cuts out repeatedly at night but the b…
[8] kb article KB-0040: Overnight outages from planned maintenance Applies to: broadband. Typical symptoms: my internet goes off in the middle of the night for a few hours; the connection was down between midnight and 4am. Cause: Planned network mainten…</t>
        </is>
      </c>
      <c r="D19" s="6" t="inlineStr">
        <is>
          <t>1. Check the planned maintenance schedule for the customer's exchange to identify if the overnight outages are due to scheduled network maintenance. [1][2][3][4][5][6][8]
2. Confirm the specific maintenance window and the expected completion date with the customer. [1][2][3][4][5][6][8]
3. Sign the customer up for maintenance notifications so they are alerted to future scheduled outages. [1][3][4][6][8]</t>
        </is>
      </c>
      <c r="E19" s="6" t="inlineStr">
        <is>
          <t>- Check the planned maintenance schedule for the customer's exchange
- Confirm the maintenance window and expected completion date
- Sign the customer up for maintenance notifications</t>
        </is>
      </c>
      <c r="F19" s="7" t="n"/>
      <c r="G19" s="7" t="n"/>
      <c r="H19" s="7" t="n"/>
      <c r="I19" s="7" t="n"/>
      <c r="J19" s="7" t="n"/>
      <c r="K19" s="7" t="n"/>
    </row>
    <row r="20" ht="230" customHeight="1">
      <c r="A20" s="6" t="inlineStr">
        <is>
          <t>H18</t>
        </is>
      </c>
      <c r="B20" s="6" t="inlineStr">
        <is>
          <t>Hey, Indoors the bars on my handset vanish and people can't reach me. My partner's phone on another network works. I've already restarted the phone. I run my business from home and this is costing me money. Can you look into it?</t>
        </is>
      </c>
      <c r="C20" s="6" t="inlineStr">
        <is>
          <t>[1] ticket TKT-000137: Complaint: Hi there, I have no mobile signal inside my house. I've already restarted the phone. I run my business from home and this is costing me money. Honestly this is ridiculous and I'm close to leaving. Resolution: Caller de…
[2] ticket TKT-000140: Complaint: Hey, Calls drop as soon as I walk indoors and the phone shows one bar. We recently moved. I've already removed the case. I run my business from home and this is costing me money. Very frustrating, please sort it out. T…
[3] ticket TKT-000134: Complaint: To whom it may concern, Phone signal disappears in my flat so calls and texts fail. The house has thick stone walls. I've already toggled airplane mode. I run my business from home and this is costing me money. This is…
[4] ticket TKT-000152: Complaint: Hello, Calls drop as soon as I walk indoors and the phone shows one bar. We recently moved. It has been happening since yesterday. I run my business from home and this is costing me money. Very frustrating, please sort…
[5] ticket TKT-000145: Complaint: Good morning, I have no mobile signal inside my house. I run my business from home and this is costing me money. Thanks in advance, you've always been helpful. Resolution: Investigated poor indoor mobile coverage and w…
[6] ticket TKT-000171: Complaint: Hello, I have no mobile signal inside my house. I run my business from home and this is costing me money. Honestly this is ridiculous and I'm close to leaving. Regards. Resolution: Investigated poor indoor mobile cover…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is>
      </c>
      <c r="D20" s="6" t="inlineStr">
        <is>
          <t>1. Check the coverage map for the customer's address to assess the strength of the local mobile signal. [1][2][3][4][5][6][7]
2. Enable Wi-Fi Calling on the handset so that calls and texts are routed over the home broadband connection. [1][2][3][4][5][6][7]
3. Make sure the phone software and carrier settings are up to date to ensure optimal network compatibility. [1][3][4][5][7]
4. If Wi-Fi Calling is not possible or does not resolve the issue, offer an indoor signal booster or femtocell to improve indoor reception. [3][5][7]
5. If the issue persists after completing the above steps, escalate the ticket to second-line support with the results of each step. [7]</t>
        </is>
      </c>
      <c r="E20" s="6" t="inlineStr">
        <is>
          <t>- Check the coverage map for the customer's address
- Enable Wi-Fi Calling on the handset so calls route over home broadband
- Make sure the phone software and carrier settings are up to date
- Offer an indoor signal booster or femtocell if Wi-Fi Calling is not possible</t>
        </is>
      </c>
      <c r="F20" s="7" t="n"/>
      <c r="G20" s="7" t="n"/>
      <c r="H20" s="7" t="n"/>
      <c r="I20" s="7" t="n"/>
      <c r="J20" s="7" t="n"/>
      <c r="K20" s="7" t="n"/>
    </row>
    <row r="21" ht="230" customHeight="1">
      <c r="A21" s="6" t="inlineStr">
        <is>
          <t>H19</t>
        </is>
      </c>
      <c r="B21" s="6" t="inlineStr">
        <is>
          <t>Hey, This statement is noticeably bigger than all the previous ones. The increase is about 15 a month. I've already compared old bills. Let me know what to do.</t>
        </is>
      </c>
      <c r="C21" s="6" t="inlineStr">
        <is>
          <t>[1] ticket TKT-000637: Complaint: To whom it may concern, The cost of my package jumped compared to last month. I joined on a special offer last year. I've already compared old bills. Thanks in advance, you've always been helpful. Regards. Resolution: …
[2] ticket TKT-000638: Complaint: Hi, My monthly price increased a lot and I didn't change anything. I've already compared old bills. It has been happening for about a week. Can you look into it? Resolution: Customer reported bill increased after a pro…
[3] ticket TKT-000650: Complaint: To whom it may concern, The cost of my package jumped compared to last month. Nothing changed in my usage. I've already compared old bills. Very frustrating, please sort it out. Resolution: Investigated bill increased …
[4] ticket TKT-000648: Complaint: Hello, Why is my invoice much higher than usual. Nothing changed in my usage. I've already compared old bills. It has been happening since yesterday. It's really disruptive. Let me know what to do. Resolution: Caller d…
[5] ticket TKT-000628: Complaint: Hi there, Why is my invoice much higher than usual. Nothing changed in my usage. I've already compared old bills. It has been happening for two weeks. Let me know what to do. Resolution: Customer reported bill increase…
[6] ticket TKT-000631: Complaint: Good morning, Why is my invoice much higher than usual. I've already compared old bills. It has been happening for three days. Appreciate your help as always! Regards. Resolution: Investigated bill increased after a pr…
[7] kb article KB-0014: Bill increased after a promotional discount ended Applies to: billing_system. Typical symptoms: my bill suddenly went up this month without warning; my monthly price increased a lot and I didn't change anything. Cause: The introd…
[8] kb article KB-0010: Mobile data slowed after reaching the usage allowance Applies to: mobile_service. Typical symptoms: my mobile data became extremely slow halfway through the month; data speed dropped to almost nothing after I used a lot this mont…</t>
        </is>
      </c>
      <c r="D21" s="6" t="inlineStr">
        <is>
          <t>1. Check the account for an expired promotional discount [2][3][4][5][6][7]
2. Explain that the introductory offer has ended and the plan returned to the standard price [2][3][4][5][6][7]
3. Offer the current retention deals or a cheaper plan that matches usage [2][3][4][5][6][7]
4. Confirm the customer received the end-of-offer notification and note it on the account [7]</t>
        </is>
      </c>
      <c r="E21"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21" s="7" t="n"/>
      <c r="G21" s="7" t="n"/>
      <c r="H21" s="7" t="n"/>
      <c r="I21" s="7" t="n"/>
      <c r="J21" s="7" t="n"/>
      <c r="K21" s="7" t="n"/>
    </row>
    <row r="22" ht="230" customHeight="1">
      <c r="A22" s="6" t="inlineStr">
        <is>
          <t>H20</t>
        </is>
      </c>
      <c r="B22" s="6" t="inlineStr">
        <is>
          <t>Hello, After dinner time the signal from the hub vanishes and comes back, wired desktop is unaffected. The router is next to the TV. My kids need it for school work. Thank you, your support has been great before.</t>
        </is>
      </c>
      <c r="C22" s="6" t="inlineStr">
        <is>
          <t>[1] ticket TKT-000965: Complaint: Hi, The router's network socket isn't giving my desktop internet any more. Wifi is fine. It has been happening since Monday. I can't watch anything in the evenings. Very frustrating, please sort it out. Resolution: Cus…
[2] ticket TKT-000967: Complaint: The router's network socket isn't giving my desktop internet any more. Wifi is fine. It has been happening since last month. Honestly this is ridiculous and I'm close to leaving. Resolution: Customer reported router et…
[3] ticket TKT-000994: Complaint: Hello, The router's network socket isn't giving my desktop internet any more. Wifi is fine. I run my business from home and this is costing me money. Honestly this is ridiculous and I'm close to leaving. Regards. Resol…
[4] ticket TKT-000963: Complaint: The router's network socket isn't giving my desktop internet any more. It's really disruptive. This is completely unacceptable. Thanks. Resolution: Investigated router ethernet port not working. Try a different LAN por…
[5] ticket TKT-000997: Complaint: Good morning, The router's network socket isn't giving my desktop internet any more. It has been happening for about a week. Very frustrating, please sort it out. Cheers. Resolution: Ticket raised for router ethernet p…
[6] ticket TKT-000966: Complaint: Hi there, The router's network socket isn't giving my desktop internet any more. Wifi is fine. I've already restarted the router. I'm really fed up with this. Cheers. Resolution: Investigated router ethernet port not w…
[7] kb article KB-0001: Fixing evening Wi-Fi dropouts caused by channel interference Applies to: router, broadband. Typical symptoms: my wifi keeps dropping out every evening around evening; the wireless connection cuts out repeatedly at night but the b…
[8] kb article KB-0021: Router ethernet port not working Applies to: router. Typical symptoms: one of the ethernet ports on my router has stopped working; my PC gets no connection when plugged into the router's LAN port. Cause: Faulty LAN port, damaged …</t>
        </is>
      </c>
      <c r="D22" s="6" t="inlineStr">
        <is>
          <t>1. Confirm the drops only affect Wi-Fi by testing a device on an ethernet cable. [7]
2. Run the router's channel scan and move the 2.4 GHz radio to the least congested channel (1, 6 or 11). [7]
3. Enable the 5 GHz band and connect nearby devices to it. [7]
4. Move the router away from the TV, microwave and metal objects. [7]
5. Update the router firmware to the latest version. [7]
6. If these steps do not resolve the issue, escalate to second-line support with the results of each step. [7]</t>
        </is>
      </c>
      <c r="E22" s="6" t="inlineStr">
        <is>
          <t>- Confirm the drops only affect Wi-Fi by testing a device on an ethernet cable
- Run the router's channel scan and move the 2.4 GHz radio to the least congested channel (1, 6 or 11)
- Enable the 5 GHz band and connect nearby devices to it
- Move the router away from the TV, microwave and metal objects
- Update the router firmware to the latest version</t>
        </is>
      </c>
      <c r="F22" s="7" t="n"/>
      <c r="G22" s="7" t="n"/>
      <c r="H22" s="7" t="n"/>
      <c r="I22" s="7" t="n"/>
      <c r="J22" s="7" t="n"/>
      <c r="K22" s="7" t="n"/>
    </row>
    <row r="23" ht="230" customHeight="1">
      <c r="A23" s="6" t="inlineStr">
        <is>
          <t>H21</t>
        </is>
      </c>
      <c r="B23" s="6" t="inlineStr">
        <is>
          <t>To whom it may concern, Since changing tariff to include the newest network I still can't use it. I've already restarted the phone. It has been happening since yesterday. I can't watch anything in the evenings. I'm really fed up with this.</t>
        </is>
      </c>
      <c r="C23" s="6" t="inlineStr">
        <is>
          <t>[1] ticket TKT-001915: Complaint: Hey, The mobile network is down where I live. I've already restarted the phone. It has been happening since Monday. I can't watch anything in the evenings. I'm really fed up with this. Resolution: Customer reported mob…
[2] ticket TKT-001228: Complaint: The account says 5G plan but the network won't give me 5G access. It changed on my bill. I've already restarted the phone. I can't watch anything in the evenings. Honestly this is ridiculous and I'm close to leaving. R…
[3] ticket TKT-001895: Complaint: Good morning, There's no mobile service anywhere in town today. Other networks work. I've already restarted the phone. It has been happening for two weeks. I can't watch anything in the evenings. I'm really fed up with…
[4] ticket TKT-001237: Complaint: Hey, The account says 5G plan but the network won't give me 5G access. It changed on my bill. I've already updated software. I can't watch anything in the evenings. I'm really fed up with this. Regards. Resolution: Cal…
[5] ticket TKT-000442: Complaint: Data speed dropped to almost nothing after I used a lot this month. I got a text about usage. I've already restarted the phone. It has been happening for two weeks. I can't watch anything in the evenings. Thanks in adv…
[6] ticket TKT-001223: Complaint: The account says 5G plan but the network won't give me 5G access. I can't watch anything in the evenings. Can you look into it? Thanks. Resolution: Ticket raised for 5g plan active but 5g not provisioned. Advised custo…
[7] kb article KB-0038: Mobile mast outage in the area Applies to: mobile_service. Typical symptoms: there's no mobile service anywhere in town today; my phone and everyone else's has no signal in this area. Cause: Mobile mast (cell site) outage or main…
[8] kb article KB-0009: Phone stuck on 4G with a 5G plan Applies to: 5g_service, mobile_service. Typical symptoms: my phone stays on 4G even in 5G areas and data is slow; I have a 5G plan but my phone only shows LTE. Cause: 5G disabled in handset settin…</t>
        </is>
      </c>
      <c r="D23" s="6" t="inlineStr">
        <is>
          <t>1. Check the network status page for any mobile mast outages or maintenance near the customer's postcode to rule out a local outage. [1][3][7]
2. If an outage is found, share the incident reference and estimated restoration time with the customer. [1][3][7]
3. If no outage is present, check that the 5G service flag is provisioned on the customer's line. [2][4][6]
4. If the 5G service flag is missing, re-provision the 5G service on the account. [2][4][6]
5. Set the phone's preferred network type to 5G/Auto in the mobile network settings and install the latest carrier settings and phone software update. [8]
6. Confirm the SIM is 5G-enabled and replace it if it is an older, non-5G-provisioned SIM. [8]</t>
        </is>
      </c>
      <c r="E23" s="6" t="inlineStr">
        <is>
          <t>- Check that the 5G service flag is provisioned on the line
- Re-provision the 5G service if missing
- Ask the customer to restart the handset to refresh network registration</t>
        </is>
      </c>
      <c r="F23" s="7" t="n"/>
      <c r="G23" s="7" t="n"/>
      <c r="H23" s="7" t="n"/>
      <c r="I23" s="7" t="n"/>
      <c r="J23" s="7" t="n"/>
      <c r="K23" s="7" t="n"/>
    </row>
    <row r="24" ht="230" customHeight="1">
      <c r="A24" s="6" t="inlineStr">
        <is>
          <t>H22</t>
        </is>
      </c>
      <c r="B24" s="6" t="inlineStr">
        <is>
          <t>Everyone around me is without a connection, it's clearly not just my house. The router shows no signal. I'm really fed up with this.</t>
        </is>
      </c>
      <c r="C24" s="6" t="inlineStr">
        <is>
          <t>[1] ticket TKT-000176: Complaint: Hey, I have no mobile signal inside my house. It has been happening for two weeks. I'm really fed up with this. Thanks. Resolution: Caller described poor indoor mobile coverage and wi-fi calling. Walked customer throug…
[2] ticket TKT-000180: Complaint: Hey, I have no mobile signal inside my house. Can you look into it? Resolution: Ticket raised for poor indoor mobile coverage and wi-fi calling. Agent action: Check the coverage map for the customer's address. Enable W…
[3] ticket TKT-000170: Complaint: Hi there, I have no mobile signal inside my house. The house has thick stone walls. I've already toggled airplane mode. It's really disruptive. Very frustrating, please sort it out. Resolution: Investigated poor indoor…
[4] ticket TKT-000499: Complaint: Hi there, The wireless signal is weak in some rooms so video calls stutter. The router is in a cupboard. I've already moved the laptop around. We take card payments through this connection and the shop can't trade. Ver…
[5] ticket TKT-000129: Complaint: Hey, I have no mobile signal inside my house. We recently moved. I'm really fed up with this. Regards. Resolution: Customer reported poor indoor mobile coverage and wi-fi calling. Root cause: Weak indoor coverage due t…
[6] ticket TKT-000137: Complaint: Hi there, I have no mobile signal inside my house. I've already restarted the phone. I run my business from home and this is costing me money. Honestly this is ridiculous and I'm close to leaving. Resolution: Caller de…
[7] kb article KB-0011: Improving Wi-Fi coverage in distant rooms Applies to: router. Typical symptoms: wifi is really slow upstairs but fine next to the router; speeds in the back bedroom are terrible on wifi. Cause: Insufficient Wi-Fi coverage due to …
[8] kb article KB-0004: Poor indoor mobile coverage and Wi-Fi Calling Applies to: mobile_service. Typical symptoms: I have no mobile signal inside my house; calls drop as soon as I walk indoors and the phone shows one bar. Cause: Weak indoor coverage du…</t>
        </is>
      </c>
      <c r="D24" s="6" t="inlineStr">
        <is>
          <t>1. Check the coverage map for the customer's address to confirm if the lack of signal is due to weak indoor coverage or distance from the mast. [1][2][3][5][6][8]
2. Enable Wi-Fi Calling on the customer's handset so that calls can be routed over the home broadband connection. [1][2][3][5][6][8]
3. Ensure the phone software and carrier settings are up to date. [2][3][5][6][8]
4. If Wi-Fi Calling is not possible, offer an indoor signal booster or femtocell to improve the connection. [2][8]
5. If the issue is related to router placement causing weak Wi-Fi, move the router to a central, elevated, and open position rather than a cupboard. [7]
6. If the above steps do not resolve the issue, escalate to second-line support with the results of each step. [7][8]</t>
        </is>
      </c>
      <c r="E24" s="6" t="inlineStr">
        <is>
          <t>- Check the outage map and incident system for the customer's area
- Link the customer to the existing incident and share the latest estimated fix time
- Offer a mobile data boost or hotspot during the outage
- Apply automatic outage compensation once service is restored</t>
        </is>
      </c>
      <c r="F24" s="7" t="n"/>
      <c r="G24" s="7" t="n"/>
      <c r="H24" s="7" t="n"/>
      <c r="I24" s="7" t="n"/>
      <c r="J24" s="7" t="n"/>
      <c r="K24" s="7" t="n"/>
    </row>
    <row r="25" ht="230" customHeight="1">
      <c r="A25" s="6" t="inlineStr">
        <is>
          <t>H23</t>
        </is>
      </c>
      <c r="B25" s="6" t="inlineStr">
        <is>
          <t>Hey, The same amount left my bank twice on the same day for my phone account. I'm now overdrawn. I've already called my bank. I work from home and keep missing client calls. I'm really fed up with this. Thanks.</t>
        </is>
      </c>
      <c r="C25" s="6" t="inlineStr">
        <is>
          <t>[1] ticket TKT-000529: Complaint: Hello, I have been charged twice for this month's bill. I've already checked my online account. It has been happening for three days. I work from home and keep missing client calls. Very frustrating, please sort it out…
[2] ticket TKT-000504: Complaint: I have been charged twice for this month's bill. Both transactions are the same amount. I've already checked my online account. It has been happening since Monday. I work from home and keep missing client calls. Very f…
[3] ticket TKT-001368: Complaint: Hey, I want to add another line to my family plan. She has a phone already. It has been happening for about a week. I work from home and keep missing client calls. Very frustrating, please sort it out. Resolution: Cust…
[4] ticket TKT-000554: Complaint: Good morning, I'm being charged weekly for some SMS service I didn't order. I've already checked my bill online. It has been happening for two weeks. I work from home and keep missing client calls. I'm really fed up wi…
[5] ticket TKT-000716: Complaint: Hi there, I cancelled my service last month but you're still billing me. I returned the router. I've already logged into my account. I work from home and keep missing client calls. Honestly this is ridiculous and I'm c…
[6] ticket TKT-000518: Complaint: Hi there, The monthly payment was taken two times from my account. Both transactions are the same amount. It has been happening for two weeks. I work from home and keep missing client calls. Honestly this is ridiculous…
[7] kb article KB-0012: Handling duplicate payments and refunds Applies to: billing_system. Typical symptoms: I have been charged twice for this month's bill; my bank statement shows two identical payments to you. Cause: A duplicate payment, usually a m…
[8] kb article KB-0024: Number porting delayed or failed Applies to: mobile_service. Typical symptoms: my number transfer from my old provider is stuck; porting my number has failed and I've got a temporary number. Cause: Port request rejected or delaye…</t>
        </is>
      </c>
      <c r="D25" s="6" t="inlineStr">
        <is>
          <t>1. Verify both transactions in the payments ledger and confirm they are for the same invoice [1][2][6][7]
2. Raise a refund for the duplicate payment to the original payment method [1][2][6][7]
3. Tell the customer refunds take 5-7 working days to appear [1][2][6][7]
4. Offer a goodwill credit if the customer incurred bank charges [1][2][7]</t>
        </is>
      </c>
      <c r="E25" s="6" t="inlineStr">
        <is>
          <t>- Verify both transactions in the payments ledger and confirm they are for the same invoice
- Raise a refund for the duplicate payment to the original payment method
- Tell the customer refunds take 5-7 working days to appear
- Offer a goodwill credit if the customer incurred bank charges</t>
        </is>
      </c>
      <c r="F25" s="7" t="n"/>
      <c r="G25" s="7" t="n"/>
      <c r="H25" s="7" t="n"/>
      <c r="I25" s="7" t="n"/>
      <c r="J25" s="7" t="n"/>
      <c r="K25" s="7" t="n"/>
    </row>
    <row r="26" ht="230" customHeight="1">
      <c r="A26" s="6" t="inlineStr">
        <is>
          <t>H24</t>
        </is>
      </c>
      <c r="B26" s="6" t="inlineStr">
        <is>
          <t>To whom it may concern, I paid for the faster next-gen tier on my mobile yet the line never received it. I've already reset network settings. I run my business from home and this is costing me money. Very frustrating, please sort it out.</t>
        </is>
      </c>
      <c r="C26" s="6" t="inlineStr">
        <is>
          <t>[1] ticket TKT-001303: Complaint: To whom it may concern, I'm paying for the faster plan now but still getting my old speed. I got a confirmation email. I've already used a cable. Very frustrating, please sort it out. Resolution: Caller described speed…
[2] ticket TKT-001279: Complaint: To whom it may concern, The upgrade went through on my bill but the line speed is the same. I've already ran speed tests. It has been happening since last month. I can't watch anything in the evenings. Thank you, your …
[3] ticket TKT-001287: Complaint: Hey, The upgrade went through on my bill but the line speed is the same. The upgrade was three days ago. I've already ran speed tests. It has been happening since Monday. I work from home and keep missing client calls.…
[4] ticket TKT-001267: Complaint: Hello, I'm paying for the faster plan now but still getting my old speed. I've already restarted the laptop. My kids need it for school work. Honestly this is ridiculous and I'm close to leaving. Regards. Resolution: I…
[5] ticket TKT-001275: Complaint: Good morning, The upgrade went through on my bill but the line speed is the same. The upgrade was three days ago. I've already ran speed tests. I can't watch anything in the evenings. I'm really fed up with this. Resol…
[6] ticket TKT-001284: Complaint: Hi, The upgrade went through on my bill but the line speed is the same. The upgrade was three days ago. I've already used a cable. Honestly this is ridiculous and I'm close to leaving. Resolution: Customer reported spe…
[7] kb article KB-0026: Speed upgrade not applied Applies to: broadband. Typical symptoms: I upgraded my broadband package but the speed hasn't changed; I'm paying for the faster plan now but still getting my old speed. Cause: New speed profile not yet …
[8] kb article KB-0010: Mobile data slowed after reaching the usage allowance Applies to: mobile_service. Typical symptoms: my mobile data became extremely slow halfway through the month; data speed dropped to almost nothing after I used a lot this mont…</t>
        </is>
      </c>
      <c r="D26" s="6" t="inlineStr">
        <is>
          <t>1. Confirm the upgrade order is complete and the new speed profile is applied to the line. [1][2][3][4][5][6][7]
2. Ask the customer to restart the router so the line re-syncs at the new profile. [1][2][3][4][5][6][7]
3. Run a line check to confirm the synced speed. [1][2][3][4][5][6][7]
4. If the profile is not applied, escalate to provisioning. [1][2][3][4][5][7]</t>
        </is>
      </c>
      <c r="E26" s="6" t="inlineStr">
        <is>
          <t>- Check that the 5G service flag is provisioned on the line
- Re-provision the 5G service if missing
- Ask the customer to restart the handset to refresh network registration</t>
        </is>
      </c>
      <c r="F26" s="7" t="n"/>
      <c r="G26" s="7" t="n"/>
      <c r="H26" s="7" t="n"/>
      <c r="I26" s="7" t="n"/>
      <c r="J26" s="7" t="n"/>
      <c r="K26" s="7" t="n"/>
    </row>
    <row r="27" ht="230" customHeight="1">
      <c r="A27" s="6" t="inlineStr">
        <is>
          <t>H25</t>
        </is>
      </c>
      <c r="B27" s="6" t="inlineStr">
        <is>
          <t>My CCTV remote viewing breaks because my public address keeps changing. I've already used dynamic DNS. My kids need it for school work. This is completely unacceptable. Thanks.</t>
        </is>
      </c>
      <c r="C27" s="6" t="inlineStr">
        <is>
          <t>[1] ticket TKT-001587: Complaint: My IP address keeps changing and I need it to stay the same. I use a VPN. I've already used dynamic DNS. What are my options? Thanks. Resolution: Caller described requesting a static ip address. Root cause: Dynamic pub…
[2] ticket TKT-001599: Complaint: Hello, My IP address keeps changing and I need it to stay the same. I use a VPN. I've already used dynamic DNS. It has been happening for two weeks. My kids need it for school work. Thank you, your support has been gre…
[3] ticket TKT-001622: Complaint: My IP address keeps changing and I need it to stay the same. I run a small business from home. I've already used dynamic DNS. It has been happening since yesterday. Please advise. Resolution: Ticket raised for requesti…
[4] ticket TKT-001589: Complaint: My IP address keeps changing and I need it to stay the same. I use a VPN. This is completely unacceptable. Thanks. Resolution: Caller described requesting a static ip address. Root cause: Dynamic public IP allocation; …
[5] ticket TKT-001601: Complaint: To whom it may concern, My IP address keeps changing and I need it to stay the same. I've already used dynamic DNS. What are my options? Cheers. Resolution: Caller described requesting a static ip address. Explain the …
[6] ticket TKT-001572: Complaint: Good morning, My IP address keeps changing and I need it to stay the same. I've already used dynamic DNS. Appreciate your help as always! Thanks. Resolution: Caller described requesting a static ip address. Agent actio…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is>
      </c>
      <c r="D27" s="6" t="inlineStr">
        <is>
          <t>1. Explain the difference between dynamic and static IP addresses to the customer. [1][3][5][6][7]
2. Add the static IP add-on to the customer's account. [1][2][3][5][6][7]
3. Ask the customer to restart the router to receive the new static IP. [1][2][4][5][6][7]
4. Suggest dynamic DNS as a free alternative if the customer prefers not to add the static IP add-on. [1][4][7]</t>
        </is>
      </c>
      <c r="E27" s="6" t="inlineStr">
        <is>
          <t>- Explain the difference between dynamic and static IP addresses
- Add the static IP add-on to the account
- Ask the customer to restart the router to receive the static IP
- Suggest dynamic DNS as a free alternative</t>
        </is>
      </c>
      <c r="F27" s="7" t="n"/>
      <c r="G27" s="7" t="n"/>
      <c r="H27" s="7" t="n"/>
      <c r="I27" s="7" t="n"/>
      <c r="J27" s="7" t="n"/>
      <c r="K27" s="7" t="n"/>
    </row>
    <row r="28" ht="230" customHeight="1">
      <c r="A28" s="6" t="inlineStr">
        <is>
          <t>H26</t>
        </is>
      </c>
      <c r="B28" s="6" t="inlineStr">
        <is>
          <t>After work hours the connection crawls and video calls freeze, mornings are perfect. It has been like this for weeks. I can't watch anything in the evenings. I'm really fed up with this.</t>
        </is>
      </c>
      <c r="C28" s="6" t="inlineStr">
        <is>
          <t>[1] ticket TKT-000292: Complaint: Streaming buffers every night even though speeds are fine in the morning. Wired speed tests are slow too. I work from home and keep missing client calls. I'm really fed up with this. Resolution: Caller described slow b…
[2] ticket TKT-000295: Complaint: Hello, Streaming buffers every night even though speeds are fine in the morning. I've already ran speed tests. It has been happening for about a week. I work from home and keep missing client calls. Thank you, your sup…
[3] ticket TKT-000297: Complaint: Internet speed drops massively at peak times in the evening. It has been happening for two weeks. I can't watch anything in the evenings. I'm really fed up with this. Cheers. Resolution: Caller described slow broadband…
[4] ticket TKT-000296: Complaint: Streaming buffers every night even though speeds are fine in the morning. The whole street seems affected. I've already restarted the router. My kids need it for school work. Thank you, your support has been great befo…
[5] ticket TKT-000294: Complaint: Speed tests show a fraction of my plan speed in the evenings. Wired speed tests are slow too. It has been happening for three days. I can't watch anything in the evenings. Thank you, your support has been great before.…
[6] ticket TKT-000293: Complaint: Streaming buffers every night even though speeds are fine in the morning. The whole street seems affected. I've already disconnected other devices. Very frustrating, please sort it out. Cheers. Resolution: Ticket raise…
[7] kb article KB-0007: Slow broadband at peak evening hours Applies to: broadband. Typical symptoms: my broadband gets very slow every evening between evening and 11; internet speed drops massively at peak times in the evening. Cause: Network congestio…
[8] kb article KB-0040: Overnight outages from planned maintenance Applies to: broadband. Typical symptoms: my internet goes off in the middle of the night for a few hours; the connection was down between midnight and 4am. Cause: Planned network mainten…</t>
        </is>
      </c>
      <c r="D28" s="6" t="inlineStr">
        <is>
          <t>1. Run a wired speed test at peak and off-peak times to confirm the slowdown is network-side. [1][2][3][5][6][7]
2. Check the network capacity dashboard for congestion on the customer's cabinet. [1][2][3][5][6][7]
3. Raise a congestion ticket with the network team if utilisation is above threshold. [2][4][5][6][7]
4. Enable QoS on the router to prioritise video calls during peak hours. [2][4][5][6][7]
5. If the issue persists after these steps, escalate to second-line support with the results of each step. [7]</t>
        </is>
      </c>
      <c r="E28" s="6" t="inlineStr">
        <is>
          <t>- Run a wired speed test at peak and off-peak times to confirm the slowdown is network-side
- Check the network capacity dashboard for congestion on the customer's cabinet
- Raise a congestion ticket with the network team if utilisation is above threshold
- Enable QoS on the router to prioritise video calls during peak hours</t>
        </is>
      </c>
      <c r="F28" s="7" t="n"/>
      <c r="G28" s="7" t="n"/>
      <c r="H28" s="7" t="n"/>
      <c r="I28" s="7" t="n"/>
      <c r="J28" s="7" t="n"/>
      <c r="K28" s="7" t="n"/>
    </row>
    <row r="29" ht="230" customHeight="1">
      <c r="A29" s="6" t="inlineStr">
        <is>
          <t>H27</t>
        </is>
      </c>
      <c r="B29" s="6" t="inlineStr">
        <is>
          <t>Hi, The new tier I moved to costs more but my connection is exactly as before. Speed tests are identical. My kids need it for school work. This is completely unacceptable. Regards.</t>
        </is>
      </c>
      <c r="C29" s="6" t="inlineStr">
        <is>
          <t>[1] ticket TKT-001278: Complaint: Hey, My speed upgrade hasn't taken effect. The upgrade was three days ago. I've already ran speed tests. My kids need it for school work. Thank you, your support has been great before. Resolution: Customer did not resp…
[2] ticket TKT-001267: Complaint: Hello, I'm paying for the faster plan now but still getting my old speed. I've already restarted the laptop. My kids need it for school work. Honestly this is ridiculous and I'm close to leaving. Regards. Resolution: I…
[3] ticket TKT-001304: Complaint: Hi, I upgraded my broadband package but the speed hasn't changed. I got a confirmation email. I've already restarted the laptop. My kids need it for school work. Honestly this is ridiculous and I'm close to leaving. Re…
[4] ticket TKT-000290: Complaint: Speed tests show a fraction of my plan speed in the evenings. I've already restarted the router. It has been happening for about a week. My kids need it for school work. Please advise. Resolution: Caller described slow…
[5] ticket TKT-001290: Complaint: Hello, The upgrade went through on my bill but the line speed is the same. I got a confirmation email. I've already restarted the laptop. It has been happening for three days. My kids need it for school work. What are …
[6] ticket TKT-000304: Complaint: Speed tests show a fraction of my plan speed in the evenings. Wired speed tests are slow too. I run my business from home and this is costing me money. Honestly this is ridiculous and I'm close to leaving. Thanks. Reso…
[7] kb article KB-0026: Speed upgrade not applied Applies to: broadband. Typical symptoms: I upgraded my broadband package but the speed hasn't changed; I'm paying for the faster plan now but still getting my old speed. Cause: New speed profile not yet …
[8] kb article KB-0007: Slow broadband at peak evening hours Applies to: broadband. Typical symptoms: my broadband gets very slow every evening between evening and 11; internet speed drops massively at peak times in the evening. Cause: Network congestio…</t>
        </is>
      </c>
      <c r="D29" s="6" t="inlineStr">
        <is>
          <t>1. Confirm the upgrade order is complete and verify that the new speed profile has been applied to the customer's line [2][3][5][7].
2. Ask the customer to restart the router so the line re-syncs at the new speed profile [2][3][5][7].
3. Run a line check to confirm the synced speed matches the new plan [2][3][5][7].
4. If the new speed profile is not applied, escalate the issue to the provisioning team [2][5][7].
5. If the profile is applied and the issue persists, escalate to second-line support with the results of each step [7].</t>
        </is>
      </c>
      <c r="E29" s="6" t="inlineStr">
        <is>
          <t>- Confirm the upgrade order is complete and the new speed profile is applied
- Ask the customer to restart the router so the line re-syncs at the new profile
- Run a line check to confirm the synced speed
- If the profile is not applied, escalate to provisioning</t>
        </is>
      </c>
      <c r="F29" s="7" t="n"/>
      <c r="G29" s="7" t="n"/>
      <c r="H29" s="7" t="n"/>
      <c r="I29" s="7" t="n"/>
      <c r="J29" s="7" t="n"/>
      <c r="K29" s="7" t="n"/>
    </row>
    <row r="30" ht="230" customHeight="1">
      <c r="A30" s="6" t="inlineStr">
        <is>
          <t>H28</t>
        </is>
      </c>
      <c r="B30" s="6" t="inlineStr">
        <is>
          <t>Hello, I want a permanent internet address so I can reach my NAS from outside. It has been happening for three days. I run my business from home and this is costing me money. Appreciate your help as always!</t>
        </is>
      </c>
      <c r="C30" s="6" t="inlineStr">
        <is>
          <t>[1] ticket TKT-001603: Complaint: To whom it may concern, I need a static IP address for my home server. I run a small business from home. I've already used dynamic DNS. It has been happening for three days. Please advise. Resolution: Customer reported…
[2] ticket TKT-001624: Complaint: Good morning, I need a static IP address for my home server. I've already looked on the website. It has been happening since last month. I run my business from home and this is costing me money. I'm really fed up with …
[3] ticket TKT-001616: Complaint: Hi, I need a static IP address for my home server. I use a VPN. It has been happening for about a week. It's really disruptive. Appreciate your help as always! Resolution: Customer did not respond to follow-up. Closed …
[4] ticket TKT-001629: Complaint: Hi, I need a static IP address for my home server. It has been happening for about a week. Please advise. Thanks. Resolution: Customer did not respond to follow-up. Closed without confirmed resolution.
[5] ticket TKT-001585: Complaint: Hi, I need a static IP address for my home server. I run a small business from home. I've already used dynamic DNS. It has been happening since last month. I'm really fed up with this. Resolution: Investigated requesti…
[6] ticket TKT-001574: Complaint: Hi there, I need a static IP address for my home server. It has been happening since last month. It's really disruptive. This is completely unacceptable. Resolution: Ticket raised for requesting a static ip address. Ad…
[7] kb article KB-0032: Requesting a static IP address Applies to: broadband. Typical symptoms: I need a static IP address for my home server; can I get a fixed IP on my broadband. Cause: Dynamic public IP allocation; static IP is an add-on. Resolution …
[8] kb article KB-0040: Overnight outages from planned maintenance Applies to: broadband. Typical symptoms: my internet goes off in the middle of the night for a few hours; the connection was down between midnight and 4am. Cause: Planned network mainten…</t>
        </is>
      </c>
      <c r="D30" s="6" t="inlineStr">
        <is>
          <t>1. Explain the difference between dynamic and static IP addresses to the customer. [1][2][5][6][7]
2. Add the static IP add-on to the customer's account. [1][2][5][6][7]
3. Ask the customer to restart their router to receive the new static IP. [1][2][6][7]
4. Suggest dynamic DNS as a free alternative for reaching the NAS. [1][6][7]</t>
        </is>
      </c>
      <c r="E30" s="6" t="inlineStr">
        <is>
          <t>- Explain the difference between dynamic and static IP addresses
- Add the static IP add-on to the account
- Ask the customer to restart the router to receive the static IP
- Suggest dynamic DNS as a free alternative</t>
        </is>
      </c>
      <c r="F30" s="7" t="n"/>
      <c r="G30" s="7" t="n"/>
      <c r="H30" s="7" t="n"/>
      <c r="I30" s="7" t="n"/>
      <c r="J30" s="7" t="n"/>
      <c r="K30" s="7" t="n"/>
    </row>
    <row r="31" ht="230" customHeight="1">
      <c r="A31" s="6" t="inlineStr">
        <is>
          <t>H29</t>
        </is>
      </c>
      <c r="B31" s="6" t="inlineStr">
        <is>
          <t>To whom it may concern, I'm now paying way more each month though I did nothing different. The increase is about 15 a month. I've already looked for emails. It has been happening since Monday. I work from home and keep missing client calls. Very frustrating, please sort it out. Thanks.</t>
        </is>
      </c>
      <c r="C31" s="6" t="inlineStr">
        <is>
          <t>[1] ticket TKT-000615: Complaint: The cost of my package jumped compared to last month. I've already checked the website. It has been happening since last month. I work from home and keep missing client calls. I'm really fed up with this. Regards. Reso…
[2] ticket TKT-000646: Complaint: My bill suddenly went up this month without warning. I joined on a special offer last year. I've already looked for emails. It has been happening for about a week. I work from home and keep missing client calls. Thank …
[3] ticket TKT-000621: Complaint: Hi, My bill suddenly went up this month without warning. I joined on a special offer last year. I've already checked the website. It has been happening since last month. I work from home and keep missing client calls. …
[4] ticket TKT-000509: Complaint: The monthly payment was taken two times from my account. I paid manually and the direct debit also went out. I've already checked my online account. It has been happening since last month. I work from home and keep mis…
[5] ticket TKT-000529: Complaint: Hello, I have been charged twice for this month's bill. I've already checked my online account. It has been happening for three days. I work from home and keep missing client calls. Very frustrating, please sort it out…
[6] ticket TKT-000613: Complaint: Hi there, My monthly price increased a lot and I didn't change anything. I work from home and keep missing client calls. I'm really fed up with this. Regards. Resolution: Customer reported bill increased after a promot…
[7] kb article KB-0010: Mobile data slowed after reaching the usage allowance Applies to: mobile_service. Typical symptoms: my mobile data became extremely slow halfway through the month; data speed dropped to almost nothing after I used a lot this mont…
[8] kb article KB-0014: Bill increased after a promotional discount ended Applies to: billing_system. Typical symptoms: my bill suddenly went up this month without warning; my monthly price increased a lot and I didn't change anything. Cause: The introd…</t>
        </is>
      </c>
      <c r="D31" s="6" t="inlineStr">
        <is>
          <t>1. Check the customer's account for an expired promotional discount that may have caused the price increase. [1][3][6][8]
2. Explain to the customer that the introductory offer has ended and the plan has returned to the standard price. [1][2][3][6][8]
3. Offer the customer current retention deals or a cheaper plan that matches their usage. [1][2][8]
4. Confirm that the customer received the end-of-offer notification and note this confirmation on the account. [1][8]</t>
        </is>
      </c>
      <c r="E31"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31" s="7" t="n"/>
      <c r="G31" s="7" t="n"/>
      <c r="H31" s="7" t="n"/>
      <c r="I31" s="7" t="n"/>
      <c r="J31" s="7" t="n"/>
      <c r="K31" s="7" t="n"/>
    </row>
    <row r="32" ht="230" customHeight="1">
      <c r="A32" s="6" t="inlineStr">
        <is>
          <t>H30</t>
        </is>
      </c>
      <c r="B32" s="6" t="inlineStr">
        <is>
          <t>Hi, Nobody in the village can use their handsets since the early hours. It affects the whole family. I've already tried airplane mode. It has been happening for three days. Very frustrating, please sort it out.</t>
        </is>
      </c>
      <c r="C32" s="6" t="inlineStr">
        <is>
          <t>[1] ticket TKT-000142: Complaint: I have no mobile signal inside my house. The house has thick stone walls. I've already toggled airplane mode. It has been happening for three days. Appreciate your help as always! Resolution: Caller described poor indo…
[2] ticket TKT-000159: Complaint: Hi there, My mobile has poor reception at home but works fine outside. I've already toggled airplane mode. I'm really fed up with this. Resolution: Customer reported poor indoor mobile coverage and wi-fi calling. Root …
[3] ticket TKT-000170: Complaint: Hi there, I have no mobile signal inside my house. The house has thick stone walls. I've already toggled airplane mode. It's really disruptive. Very frustrating, please sort it out. Resolution: Investigated poor indoor…
[4] ticket TKT-000172: Complaint: Hi, I have no mobile signal inside my house. It has been happening since Monday. Let me know what to do. Resolution: Customer reported poor indoor mobile coverage and wi-fi calling. Check the coverage map for the custo…
[5] ticket TKT-000133: Complaint: To whom it may concern, I have no mobile signal inside my house. We recently moved. I've already toggled airplane mode. Let me know what to do. Resolution: Ticket raised for poor indoor mobile coverage and wi-fi callin…
[6] ticket TKT-000176: Complaint: Hey, I have no mobile signal inside my house. It has been happening for two weeks. I'm really fed up with this. Thanks. Resolution: Caller described poor indoor mobile coverage and wi-fi calling. Walked customer throug…
[7] kb article KB-0037: Area-wide broadband outage Applies to: fiber, broadband. Typical symptoms: the whole neighbourhood has lost internet since this morning; nobody on our street has broadband right now. Cause: Network outage, e.g. a fibre cable cut …
[8] kb article KB-0007: Slow broadband at peak evening hours Applies to: broadband. Typical symptoms: my broadband gets very slow every evening between evening and 11; internet speed drops massively at peak times in the evening. Cause: Network congestio…</t>
        </is>
      </c>
      <c r="D32" s="6" t="inlineStr">
        <is>
          <t>1. Check the coverage map for the customer's address to verify if the area is experiencing a known outage or has weak indoor coverage [1][2][3][4][5][6].
2. Enable Wi-Fi Calling on the handset so calls route over home broadband [1][2][3][4][5][6].
3. Make sure the phone software and carrier settings are up to date [1][3][4][5].
4. Offer an indoor signal booster or femtocell if Wi-Fi Calling is not possible [5].</t>
        </is>
      </c>
      <c r="E32" s="6" t="inlineStr">
        <is>
          <t>- Check the network status page for mast outages near the customer's postcode
- Share the incident reference and estimated restoration time
- Enable Wi-Fi Calling as a workaround if the customer has broadband</t>
        </is>
      </c>
      <c r="F32" s="7" t="n"/>
      <c r="G32" s="7" t="n"/>
      <c r="H32" s="7" t="n"/>
      <c r="I32" s="7" t="n"/>
      <c r="J32" s="7" t="n"/>
      <c r="K32" s="7" t="n"/>
    </row>
    <row r="33" ht="230" customHeight="1">
      <c r="A33" s="6" t="inlineStr">
        <is>
          <t>H31</t>
        </is>
      </c>
      <c r="B33" s="6" t="inlineStr">
        <is>
          <t>Party chat fails and the game shows a restrictive network warning. I host game servers. I've already restarted the console. It has been happening for about a week. Honestly this is ridiculous and I'm close to leaving.</t>
        </is>
      </c>
      <c r="C33" s="6" t="inlineStr">
        <is>
          <t>[1] ticket TKT-001492: Complaint: My console says NAT type strict and I can't join online games. UPnP may be off. I've already restarted the console. My kids need it for school work. Honestly this is ridiculous and I'm close to leaving. Regards. Resolu…
[2] ticket TKT-001470: Complaint: Hey, My console says NAT type strict and I can't join online games. UPnP may be off. It has been happening for three days. I work from home and keep missing client calls. I'm really fed up with this. Resolution: Custom…
[3] ticket TKT-001501: Complaint: Good morning, My console says NAT type strict and I can't join online games. It has been happening for two weeks. I can't watch anything in the evenings. Very frustrating, please sort it out. Cheers. Resolution: Custom…
[4] ticket TKT-001467: Complaint: To whom it may concern, Online multiplayer won't connect because of NAT. UPnP may be off. I've already restarted the console. It has been happening since yesterday. This is completely unacceptable. Resolution: Investig…
[5] ticket TKT-001434: Complaint: To whom it may concern, My console says NAT type strict and I can't join online games. I use a PlayStation. I've already restarted the console. It has been happening since Monday. I run my business from home and this i…
[6] ticket TKT-001478: Complaint: Good morning, Online multiplayer won't connect because of NAT. I use a PlayStation. I've already restarted the console. It's really disruptive. Honestly this is ridiculous and I'm close to leaving. Resolution: Ticket r…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is>
      </c>
      <c r="D33" s="6" t="inlineStr">
        <is>
          <t>1. Enable UPnP in the router settings [1][4][5][6][7]
2. Assign a reserved IP address to the console in the router's DHCP settings [1][4][5][6][7]
3. Forward the game's required ports to the console's reserved IP address [1][4][7]
4. Restart the console and re-test the NAT type [4][7]
5. If the issue persists, escalate to second-line support with the results of each step [7]</t>
        </is>
      </c>
      <c r="E33" s="6" t="inlineStr">
        <is>
          <t>- Enable UPnP in the router settings
- Give the console a reserved IP address in the router DHCP settings
- Forward the game's required ports to the console's reserved IP
- Restart the console and re-test the NAT type</t>
        </is>
      </c>
      <c r="F33" s="7" t="n"/>
      <c r="G33" s="7" t="n"/>
      <c r="H33" s="7" t="n"/>
      <c r="I33" s="7" t="n"/>
      <c r="J33" s="7" t="n"/>
      <c r="K33" s="7" t="n"/>
    </row>
    <row r="34" ht="230" customHeight="1">
      <c r="A34" s="6" t="inlineStr">
        <is>
          <t>H32</t>
        </is>
      </c>
      <c r="B34" s="6" t="inlineStr">
        <is>
          <t>Hi, The technician fitted all the equipment but we still can't get online at the new house. The router shows no WAN. It has been happening for about a week. What are my options? Thanks.</t>
        </is>
      </c>
      <c r="C34" s="6" t="inlineStr">
        <is>
          <t>[1] ticket TKT-000924: Complaint: I reset my modem router and it no longer gets online. It was a third-party router. It has been happening for about a week. Thank you, your support has been great before. Thanks. Resolution: Caller described no internet…
[2] ticket TKT-000919: Complaint: Hi, I reset my modem router and it no longer gets online. I've already checked cables. Very frustrating, please sort it out. Resolution: Ticket raised for no internet after a router factory reset. Agent action: Log in …
[3] ticket TKT-000911: Complaint: Hey, I reset my modem router and it no longer gets online. I've already checked cables. My kids need it for school work. I'm really fed up with this. Resolution: Investigated no internet after a router factory reset. A…
[4] ticket TKT-000903: Complaint: Hey, I reset my modem router and it no longer gets online. I've already restarted it again. Can you look into it? Regards. Resolution: Ticket raised for no internet after a router factory reset. Agent action: Log in to…
[5] ticket TKT-000916: Complaint: I factory reset my router and now there's no internet. I lost the sticker with details. I've already checked cables. It has been happening since Monday. My kids need it for school work. Very frustrating, please sort it…
[6] ticket TKT-000913: Complaint: To whom it may concern, I factory reset my router and now there's no internet. I lost the sticker with details. My kids need it for school work. This is completely unacceptable. Cheers. Resolution: Investigated no inte…
[7] kb article KB-0019: No internet after a router factory reset Applies to: router, broadband. Typical symptoms: I factory reset my router and now there's no internet; after pressing the reset button the router connects to wifi but not the internet. Ca…
[8] kb article KB-0022: New fibre installed but not active Applies to: fiber. Typical symptoms: the engineer installed my fibre yesterday but there's still no service; my new fiber line was installed but isn't activated. Cause: Order not yet provisioned…</t>
        </is>
      </c>
      <c r="D34" s="6" t="inlineStr">
        <is>
          <t>1. Log in to the router admin page using the default credentials on the label. [1][2][3][4][5][6][7]
2. Re-enter the broadband PPPoE username and password from the account. [1][2][3][4][5][6][7]
3. Set the WAN VLAN ID required by the network if using a third-party router. [1][2][3][4][6][7]
4. Reconfigure the Wi-Fi name and password. [6][7]
5. Check the order status and that the ONT serial number is registered to the account. [8]
6. Trigger provisioning of the service profile on the OLT and ask the customer to reboot the ONT and router. [8]</t>
        </is>
      </c>
      <c r="E34" s="6" t="inlineStr">
        <is>
          <t>- Check the order status and that the ONT serial number is registered to the account
- Trigger provisioning of the service profile on the OLT
- Ask the customer to reboot the ONT and router after provisioning
- If still not working, escalate to the provisioning team</t>
        </is>
      </c>
      <c r="F34" s="7" t="n"/>
      <c r="G34" s="7" t="n"/>
      <c r="H34" s="7" t="n"/>
      <c r="I34" s="7" t="n"/>
      <c r="J34" s="7" t="n"/>
      <c r="K34" s="7" t="n"/>
    </row>
    <row r="35" ht="230" customHeight="1">
      <c r="A35" s="6" t="inlineStr">
        <is>
          <t>H33</t>
        </is>
      </c>
      <c r="B35" s="6" t="inlineStr">
        <is>
          <t>Hey, Each time someone calls the house the web stops working for a minute. The noise is worse when it rains. It's really disruptive. I'm really fed up with this. Cheers.</t>
        </is>
      </c>
      <c r="C35" s="6" t="inlineStr">
        <is>
          <t>[1] ticket TKT-000065: Complaint: To whom it may concern, There is crackling on the landline and the internet drops at the same time. The house has several phone sockets. I've already swapped the phone cable. It's really disruptive. Can you look into i…
[2] ticket TKT-000132: Complaint: I have no mobile signal inside my house. It has been happening since last month. It's really disruptive. Let me know what to do. Cheers. Resolution: Customer reported poor indoor mobile coverage and wi-fi calling. Root…
[3] ticket TKT-000176: Complaint: Hey, I have no mobile signal inside my house. It has been happening for two weeks. I'm really fed up with this. Thanks. Resolution: Caller described poor indoor mobile coverage and wi-fi calling. Walked customer throug…
[4] ticket TKT-001808: Complaint: Internet is down across the entire estate. It's really disruptive. This is completely unacceptable. Resolution: Customer did not respond to follow-up. Closed without confirmed resolution.
[5] ticket TKT-001918: Complaint: Hello, After the storm the telephone cable to my house is hanging down. Very frustrating, please sort it out. Resolution: Customer did not respond to follow-up. Closed without confirmed resolution.
[6] ticket TKT-001872: Complaint: Hello, Internet is down across the entire estate. There are roadworks nearby. It has been happening since yesterday. Honestly this is ridiculous and I'm close to leaving. Cheers. Resolution: Customer did not respond to…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is>
      </c>
      <c r="D35" s="6" t="inlineStr">
        <is>
          <t>1. Fit a microfilter on every phone socket that has a phone or device plugged in. [1][8]
2. Connect the modem to the master socket using the test socket to bypass internal wiring. [1][8]
3. Run a remote line test from the support system to check for noise and line faults. [1][8]
4. If the line test fails, book an engineer visit to repair the line. [1][8]
5. If the issue is not resolved by the above steps, escalate to second-line support with the results of each step. [8]</t>
        </is>
      </c>
      <c r="E35" s="6" t="inlineStr">
        <is>
          <t>- Fit a microfilter on every phone socket that has a phone or device plugged in
- Connect the modem to the master socket using the test socket to bypass internal wiring
- Run a remote line test from the support system to check for noise and line faults
- If the line test fails, book an engineer visit to repair the line</t>
        </is>
      </c>
      <c r="F35" s="7" t="n"/>
      <c r="G35" s="7" t="n"/>
      <c r="H35" s="7" t="n"/>
      <c r="I35" s="7" t="n"/>
      <c r="J35" s="7" t="n"/>
      <c r="K35" s="7" t="n"/>
    </row>
    <row r="36" ht="230" customHeight="1">
      <c r="A36" s="6" t="inlineStr">
        <is>
          <t>H34</t>
        </is>
      </c>
      <c r="B36" s="6" t="inlineStr">
        <is>
          <t>The little white box where the glass cable comes in is glowing red and we're offline. The router itself looks normal. I've already power cycled the ONT. It has been happening since last month. It's really disruptive. Honestly this is ridiculous and I'm close to leaving. Regards.</t>
        </is>
      </c>
      <c r="C36" s="6" t="inlineStr">
        <is>
          <t>[1] ticket TKT-000122: Complaint: Hey, No internet at all, the fiber box on the wall shows a red light. The cable runs behind a cupboard. I've already power cycled the ONT. It has been happening since yesterday. Thanks in advance, you've always been he…
[2] ticket TKT-000096: Complaint: Hey, No internet at all, the fiber box on the wall shows a red light. I've already rebooted the router. It has been happening since yesterday. I can't watch anything in the evenings. Can you look into it? Cheers. Resol…
[3] ticket TKT-000095: Complaint: No internet at all, the fiber box on the wall shows a red light. The cable runs behind a cupboard. I've already checked the power socket. It has been happening since last month. Can you look into it? Resolution: Invest…
[4] ticket TKT-000102: Complaint: Hi there, No internet at all, the fiber box on the wall shows a red light. I've already rebooted the router. My kids need it for school work. Thank you, your support has been great before. Regards. Resolution: Investig…
[5] ticket TKT-000814: Complaint: The router lights all go off and it reboots on its own. It's in a closed cabinet. I've already moved the router. It has been happening since last month. It's really disruptive. I'm really fed up with this. Resolution: …
[6] ticket TKT-000113: Complaint: No internet at all, the fiber box on the wall shows a red light. We moved some furniture yesterday. It has been happening since last month. Honestly this is ridiculous and I'm close to leaving. Regards. Resolution: Tic…
[7] kb article KB-0003: Red LOS light on the fibre ONT Applies to: fiber. Typical symptoms: my fibre is completely down and the ONT has a red LOS light; no internet at all, the fiber box on the wall shows a red light. Cause: Loss of optical signal, typi…
[8] kb article KB-0017: Router rebooting on its own Applies to: router. Typical symptoms: my router keeps rebooting itself several times a day; the router randomly restarts and is very hot to touch. Cause: Overheating or a failing power supply causing s…</t>
        </is>
      </c>
      <c r="D36" s="6" t="inlineStr">
        <is>
          <t>1. Check the thin fibre cable going into the ONT for any sharp bends, kinks, or pinching, and straighten it if found. [2][3][4][6][7]
2. Ensure the green fibre connector is fully clicked into the ONT port, being careful not to touch the fibre end. [2][3][4][6][7]
3. Check the outage map to see if there is a known fibre fault in the customer's area. [2][3][4][6][7]
4. If the LOS light remains red after the above steps, raise a fibre fault ticket and dispatch a field engineer. [3][4][6][7]
5. If the issue is still not resolved after dispatching a field engineer, escalate the case to second-line support with the results of each step. [7]</t>
        </is>
      </c>
      <c r="E36" s="6" t="inlineStr">
        <is>
          <t>- Check the thin fibre cable into the ONT for sharp bends, kinks or pinching and straighten it
- Make sure the green fibre connector is fully clicked into the ONT port without touching the fibre end
- Check the outage map for a fibre fault in the area
- If LOS stays red, raise a fibre fault and dispatch a field engineer</t>
        </is>
      </c>
      <c r="F36" s="7" t="n"/>
      <c r="G36" s="7" t="n"/>
      <c r="H36" s="7" t="n"/>
      <c r="I36" s="7" t="n"/>
      <c r="J36" s="7" t="n"/>
      <c r="K36" s="7" t="n"/>
    </row>
    <row r="37" ht="230" customHeight="1">
      <c r="A37" s="6" t="inlineStr">
        <is>
          <t>H35</t>
        </is>
      </c>
      <c r="B37" s="6" t="inlineStr">
        <is>
          <t>Good morning, Online games work but typing any web address just spins and fails. Pinging an IP address works. I've already cleared the browser cache. It has been happening since yesterday. I work from home and keep missing client calls. I'm really fed up with this. Regards.</t>
        </is>
      </c>
      <c r="C37" s="6" t="inlineStr">
        <is>
          <t>[1] ticket TKT-001470: Complaint: Hey, My console says NAT type strict and I can't join online games. UPnP may be off. It has been happening for three days. I work from home and keep missing client calls. I'm really fed up with this. Resolution: Custom…
[2] ticket TKT-001479: Complaint: Online multiplayer won't connect because of NAT. It has been happening since last month. I work from home and keep missing client calls. I'm really fed up with this. Regards. Resolution: Ticket raised for strict nat an…
[3] ticket TKT-001501: Complaint: Good morning, My console says NAT type strict and I can't join online games. It has been happening for two weeks. I can't watch anything in the evenings. Very frustrating, please sort it out. Cheers. Resolution: Custom…
[4] ticket TKT-001483: Complaint: Hi there, My console says NAT type strict and I can't join online games. I run my business from home and this is costing me money. Honestly this is ridiculous and I'm close to leaving. Cheers. Resolution: Caller descri…
[5] ticket TKT-001439: Complaint: Hello, My console says NAT type strict and I can't join online games. It's really disruptive. Thank you, your support has been great before. Cheers. Resolution: Caller described strict nat and port forwarding for gamin…
[6] ticket TKT-001482: Complaint: Good morning, Online multiplayer won't connect because of NAT. It's really disruptive. Very frustrating, please sort it out. Resolution: Customer reported strict nat and port forwarding for gaming. Agent action: Enable…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is>
      </c>
      <c r="D37" s="6" t="inlineStr">
        <is>
          <t>1. Confirm the issue is DNS by pinging an IP address such as 8.8.8.8. [8]
2. Flush the DNS cache on the device (ipconfig /flushdns on Windows). [8]
3. Set the router's DNS servers to automatic, or to a public resolver such as 1.1.1.1 and 8.8.8.8. [8]
4. Restart the router after changing DNS settings. [8]
5. If these steps do not resolve the issue, escalate to second-line support with the results of each step. [8]</t>
        </is>
      </c>
      <c r="E37" s="6" t="inlineStr">
        <is>
          <t>- Confirm the issue is DNS by pinging an IP address such as 8.8.8.8
- Flush the DNS cache on the device (ipconfig /flushdns on Windows)
- Set the router's DNS servers to automatic, or to a public resolver such as 1.1.1.1 and 8.8.8.8
- Restart the router after changing DNS settings</t>
        </is>
      </c>
      <c r="F37" s="7" t="n"/>
      <c r="G37" s="7" t="n"/>
      <c r="H37" s="7" t="n"/>
      <c r="I37" s="7" t="n"/>
      <c r="J37" s="7" t="n"/>
      <c r="K37" s="7" t="n"/>
    </row>
    <row r="38" ht="230" customHeight="1">
      <c r="A38" s="6" t="inlineStr">
        <is>
          <t>H36</t>
        </is>
      </c>
      <c r="B38" s="6" t="inlineStr">
        <is>
          <t>Online games work but typing any web address just spins and fails. I've already tried another browser. This is completely unacceptable. Thanks.</t>
        </is>
      </c>
      <c r="C38" s="6" t="inlineStr">
        <is>
          <t>[1] ticket TKT-001466: Complaint: Hi, My console says NAT type strict and I can't join online games. UPnP may be off. I've already restarted the console. Can you look into it? Thanks. Resolution: Ticket raised for strict nat and port forwarding for gam…
[2] ticket TKT-001476: Complaint: Hi, My console says NAT type strict and I can't join online games. I've already restarted the router. Very frustrating, please sort it out. Resolution: Investigated strict nat and port forwarding for gaming. Enable UPn…
[3] ticket TKT-001434: Complaint: To whom it may concern, My console says NAT type strict and I can't join online games. I use a PlayStation. I've already restarted the console. It has been happening since Monday. I run my business from home and this i…
[4] ticket TKT-001474: Complaint: Hello, My console says NAT type strict and I can't join online games. I use a PlayStation. I've already restarted the console. Let me know what to do. Cheers. Resolution: Investigated strict nat and port forwarding for…
[5] ticket TKT-001432: Complaint: Hello, Online multiplayer won't connect because of NAT. UPnP may be off. I've already restarted the router. This is completely unacceptable. Resolution: Customer reported strict nat and port forwarding for gaming. Enab…
[6] ticket TKT-001492: Complaint: My console says NAT type strict and I can't join online games. UPnP may be off. I've already restarted the console. My kids need it for school work. Honestly this is ridiculous and I'm close to leaving. Regards. Resolu…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is>
      </c>
      <c r="D38" s="6" t="inlineStr">
        <is>
          <t>1. Confirm the issue is DNS by pinging an IP address such as 8.8.8.8. [8]
2. Flush the DNS cache on the device (ipconfig /flushdns on Windows). [8]
3. Set the router's DNS servers to automatic, or to a public resolver such as 1.1.1.1 and 8.8.8.8. [8]
4. Restart the router after changing DNS settings. [8]</t>
        </is>
      </c>
      <c r="E38" s="6" t="inlineStr">
        <is>
          <t>- Confirm the issue is DNS by pinging an IP address such as 8.8.8.8
- Flush the DNS cache on the device (ipconfig /flushdns on Windows)
- Set the router's DNS servers to automatic, or to a public resolver such as 1.1.1.1 and 8.8.8.8
- Restart the router after changing DNS settings</t>
        </is>
      </c>
      <c r="F38" s="7" t="n"/>
      <c r="G38" s="7" t="n"/>
      <c r="H38" s="7" t="n"/>
      <c r="I38" s="7" t="n"/>
      <c r="J38" s="7" t="n"/>
      <c r="K38" s="7" t="n"/>
    </row>
    <row r="39" ht="230" customHeight="1">
      <c r="A39" s="6" t="inlineStr">
        <is>
          <t>H37</t>
        </is>
      </c>
      <c r="B39" s="6" t="inlineStr">
        <is>
          <t>Hi there, I still can't use my old phone number with you even though I switched last week. The name on the accounts differs. Thank you, your support has been great before.</t>
        </is>
      </c>
      <c r="C39" s="6" t="inlineStr">
        <is>
          <t>[1] ticket TKT-001165: Complaint: I gave you my PAC code but my number still hasn't moved. I used a business number. I've already restarted the phone. It has been happening for two weeks. Please advise. Thanks. Resolution: Caller described number porti…
[2] ticket TKT-001188: Complaint: My number transfer from my old provider is stuck. The old provider says it was released. I've already restarted the phone. I can't watch anything in the evenings. Thank you, your support has been great before. Resoluti…
[3] ticket TKT-001350: Complaint: To whom it may concern, I'd like to add a second mobile number to my plan. My kids need it for school work. Honestly this is ridiculous and I'm close to leaving. Thanks. Resolution: Investigated adding a line to a fami…
[4] ticket TKT-001374: Complaint: Hi there, I'd like to add a second mobile number to my plan. She has a phone already. I've already looked in the app. It's really disruptive. Can you look into it? Thanks. Resolution: Customer reported adding a line to…
[5] ticket TKT-001675: Complaint: Two-factor code doesn't come through so I can't access my account. I changed my number recently. It has been happening for two weeks. I can't watch anything in the evenings. I'm really fed up with this. Regards. Resolu…
[6] ticket TKT-001689: Complaint: Hey, Two-factor code doesn't come through so I can't access my account. I changed my number recently. I've already restarted my phone. Honestly this is ridiculous and I'm close to leaving. Thanks. Resolution: Ticket ra…
[7] kb article KB-0024: Number porting delayed or failed Applies to: mobile_service. Typical symptoms: my number transfer from my old provider is stuck; porting my number has failed and I've got a temporary number. Cause: Port request rejected or delaye…
[8] kb article KB-0035: Changing the account holder Applies to: account_portal. Typical symptoms: I need to change the name on the account; how do I transfer the account to my partner. Cause: Change of account holder request requiring consent or bereave…</t>
        </is>
      </c>
      <c r="D39" s="6" t="inlineStr">
        <is>
          <t>1. Check the port request status and any rejection reason to identify why the number transfer is delayed or failed [1][2][7].
2. Verify the PAC or porting code is valid, unexpired, and matches the number [1][2][7].
3. Verify the current account holder's identity and collect the new holder's identity and payment details to address the name mismatch [8].
4. Complete the transfer of ownership without interrupting service [8].
5. Resubmit the port request with the corrected account details [2][7].
6. Inform the customer that the port will complete within one working day of a valid request [2][7]</t>
        </is>
      </c>
      <c r="E39" s="6" t="inlineStr">
        <is>
          <t>- Check the port request status and any rejection reason
- Verify the PAC or porting code is valid, unexpired and matches the number
- Resubmit the port request with corrected details
- Tell the customer the port completes within one working day of a valid request</t>
        </is>
      </c>
      <c r="F39" s="7" t="n"/>
      <c r="G39" s="7" t="n"/>
      <c r="H39" s="7" t="n"/>
      <c r="I39" s="7" t="n"/>
      <c r="J39" s="7" t="n"/>
      <c r="K39" s="7" t="n"/>
    </row>
    <row r="40" ht="230" customHeight="1">
      <c r="A40" s="6" t="inlineStr">
        <is>
          <t>H38</t>
        </is>
      </c>
      <c r="B40" s="6" t="inlineStr">
        <is>
          <t>Hi there, The speed I'm billed for is five times what my computer actually measures. Speed is the same on every device. I've already tested at night and day. It has been happening for three days. My kids need it for school work. Honestly this is ridiculous and I'm close to leaving. Cheers.</t>
        </is>
      </c>
      <c r="C40" s="6" t="inlineStr">
        <is>
          <t>[1] ticket TKT-001278: Complaint: Hey, My speed upgrade hasn't taken effect. The upgrade was three days ago. I've already ran speed tests. My kids need it for school work. Thank you, your support has been great before. Resolution: Customer did not resp…
[2] ticket TKT-000304: Complaint: Speed tests show a fraction of my plan speed in the evenings. Wired speed tests are slow too. I run my business from home and this is costing me money. Honestly this is ridiculous and I'm close to leaving. Thanks. Reso…
[3] ticket TKT-000290: Complaint: Speed tests show a fraction of my plan speed in the evenings. I've already restarted the router. It has been happening for about a week. My kids need it for school work. Please advise. Resolution: Caller described slow…
[4] ticket TKT-001282: Complaint: The upgrade went through on my bill but the line speed is the same. I've already restarted the laptop. It has been happening for three days. My kids need it for school work. Honestly this is ridiculous and I'm close to…
[5] ticket TKT-000300: Complaint: To whom it may concern, Speed tests show a fraction of my plan speed in the evenings. The whole street seems affected. I've already ran speed tests. I'm really fed up with this. Regards. Resolution: Investigated slow b…
[6] ticket TKT-000282: Complaint: To whom it may concern, Speed tests show a fraction of my plan speed in the evenings. Wired speed tests are slow too. I've already restarted the router. Appreciate your help as always! Resolution: Ticket raised for slo…
[7] kb article KB-0007: Slow broadband at peak evening hours Applies to: broadband. Typical symptoms: my broadband gets very slow every evening between evening and 11; internet speed drops massively at peak times in the evening. Cause: Network congestio…
[8] kb article KB-0008: Fibre speed stuck at 100 Mbps: checking cables and router ports Applies to: fiber, router. Typical symptoms: I pay for 500 Mbps fibre but only get about 90; my gigabit fiber never goes above 100 Mbps on speed tests. Cause: A bott…</t>
        </is>
      </c>
      <c r="D40" s="6" t="inlineStr">
        <is>
          <t>1. Run a wired speed test at peak and off-peak times to confirm the slowdown is network-side. [2][3][6][7]
2. Check the network capacity dashboard for congestion on the customer's cabinet. [2][3][5][6][7]
3. Raise a congestion ticket with the network team if utilisation is above threshold. [2][3][5][7]
4. Enable QoS on the router to prioritise video calls during peak hours. [2][5][7]
5. If the issue persists, escalate to second-line support with the results of each step. [7]</t>
        </is>
      </c>
      <c r="E40" s="6" t="inlineStr">
        <is>
          <t>- Check the negotiated link speed on the computer's network adapter (100 Mbps vs 1 Gbps)
- Replace old Cat5 ethernet cables with Cat5e or Cat6
- Confirm the router has gigabit WAN and LAN ports; replace it with the supported fibre router if not
- Re-run a wired speed test directly from the ONT or router</t>
        </is>
      </c>
      <c r="F40" s="7" t="n"/>
      <c r="G40" s="7" t="n"/>
      <c r="H40" s="7" t="n"/>
      <c r="I40" s="7" t="n"/>
      <c r="J40" s="7" t="n"/>
      <c r="K40" s="7" t="n"/>
    </row>
    <row r="41" ht="230" customHeight="1">
      <c r="A41" s="6" t="inlineStr">
        <is>
          <t>H39</t>
        </is>
      </c>
      <c r="B41" s="6" t="inlineStr">
        <is>
          <t>Some unknown games subscription keeps getting added to my phone account. I received strange texts. I've already searched the company name. What are my options? Cheers.</t>
        </is>
      </c>
      <c r="C41" s="6" t="inlineStr">
        <is>
          <t>[1] ticket TKT-000572: Complaint: My phone bill has third-party subscription charges I don't recognise. My child uses the phone. I've already searched the company name. I run my business from home and this is costing me money. I'm really fed up with th…
[2] ticket TKT-000552: Complaint: My phone bill has third-party subscription charges I don't recognise. My child uses the phone. I've already searched the company name. I can't watch anything in the evenings. I'm really fed up with this. Resolution: In…
[3] ticket TKT-000535: Complaint: Hi there, There are charges for premium text services I never signed up for. I've already searched the company name. This is completely unacceptable. Resolution: Investigated unrecognised third-party and premium sms ch…
[4] ticket TKT-000577: Complaint: Hi, My phone bill has third-party subscription charges I don't recognise. My child uses the phone. I've already searched the company name. What are my options? Cheers. Resolution: Ticket raised for unrecognised third-p…
[5] ticket TKT-000579: Complaint: There are charges for premium text services I never signed up for. I've already searched the company name. Honestly this is ridiculous and I'm close to leaving. Resolution: Caller described unrecognised third-party and…
[6] ticket TKT-000549: Complaint: My phone bill has third-party subscription charges I don't recognise. I've already searched the company name. I'm really fed up with this. Cheers. Resolution: Caller described unrecognised third-party and premium sms c…
[7] kb article KB-0013: Unrecognised third-party and premium SMS charges Applies to: billing_system, mobile_service. Typical symptoms: there are charges for premium text services I never signed up for; my phone bill has third-party subscription charges …
[8] kb article KB-0028: Adding a line to a family plan Applies to: mobile_service. Typical symptoms: I want to add another line to my family plan; how do I add my daughter's phone to my account. Cause: Customer request to add a line; requires account ho…</t>
        </is>
      </c>
      <c r="D41" s="6" t="inlineStr">
        <is>
          <t>1. Identify the specific third-party service and its start date by reviewing the customer's billing detail [1][2][3][4][5][6][7].
2. Cancel the identified third-party subscription and apply a premium services bar to the line to prevent future charges [1][2][3][4][5][6][7].
3. Raise a formal refund request for the disputed third-party charges [1][2][3][4][5][6][7].
4. Advise the customer to enable spending controls on the phone, particularly if a child uses the device [2][3][5][7].
5. If the issue is not resolved by the above steps, escalate the case to second-line support with the results of each step [7].</t>
        </is>
      </c>
      <c r="E41" s="6" t="inlineStr">
        <is>
          <t>- Identify the third-party service and its start date from the billing detail
- Cancel the subscription and apply a premium services bar on the line
- Raise a refund request for the disputed third-party charges
- Advise the customer to enable spending controls for children's phones</t>
        </is>
      </c>
      <c r="F41" s="7" t="n"/>
      <c r="G41" s="7" t="n"/>
      <c r="H41" s="7" t="n"/>
      <c r="I41" s="7" t="n"/>
      <c r="J41" s="7" t="n"/>
      <c r="K41" s="7" t="n"/>
    </row>
    <row r="42" ht="230" customHeight="1">
      <c r="A42" s="6" t="inlineStr">
        <is>
          <t>H40</t>
        </is>
      </c>
      <c r="B42" s="6" t="inlineStr">
        <is>
          <t>Hello, I never get any recorded messages when I miss calls. Visual voicemail shows an error. I've already called the voicemail number. It has been happening since Monday. Very frustrating, please sort it out.</t>
        </is>
      </c>
      <c r="C42" s="6" t="inlineStr">
        <is>
          <t>[1] ticket TKT-001513: Complaint: To whom it may concern, My voicemail isn't working and callers can't leave messages. I'm on a new phone. I've already called the voicemail number. It has been happening for three days. Let me know what to do. Cheers. R…
[2] ticket TKT-001518: Complaint: To whom it may concern, I can't set up my voicemail. I'm on a new phone. I've already restarted my phone. It has been happening since yesterday. I can't watch anything in the evenings. Thanks in advance, you've always …
[3] ticket TKT-001546: Complaint: Hello, My voicemail isn't working and callers can't leave messages. I've already restarted my phone. It has been happening for two weeks. It's really disruptive. Appreciate your help as always! Cheers. Resolution: Inve…
[4] ticket TKT-001541: Complaint: Hey, My voicemail isn't working and callers can't leave messages. I've already called the voicemail number. It has been happening for three days. Very frustrating, please sort it out. Regards. Resolution: Customer repo…
[5] ticket TKT-001530: Complaint: My voicemail isn't working and callers can't leave messages. I forgot my PIN. It has been happening since last month. I work from home and keep missing client calls. I'm really fed up with this. Thanks. Resolution: Cus…
[6] ticket TKT-001533: Complaint: Hey, Calls aren't diverting to voicemail when I don't answer. I forgot my PIN. Very frustrating, please sort it out. Resolution: Investigated setting up voicemail. Activate voicemail on the line from the account system…
[7] kb article KB-0031: Setting up voicemail Applies to: mobile_service. Typical symptoms: I can't set up my voicemail; my voicemail isn't working and callers can't leave messages. Cause: Voicemail not activated, call diversion not set, or PIN unknown. …
[8] kb article KB-0020: Phone shows 'No SIM' or 'Invalid SIM' Applies to: mobile_service. Typical symptoms: my phone says no SIM card inserted; the SIM is not detected and I can't make calls. Cause: Damaged or worn SIM card, or a SIM tray/reader issue. …</t>
        </is>
      </c>
      <c r="D42" s="6" t="inlineStr">
        <is>
          <t>1. Activate voicemail on the line from the account system. [1][2][3][4][5][6][7]
2. Set call diversion on no answer to the voicemail number. [1][2][3][4][5][6][7]
3. Reset the voicemail PIN and send it by SMS. [1][3][4][6][7]
4. If the issue is not resolved after completing the above steps, escalate to second-line support with the results of each step. [7]</t>
        </is>
      </c>
      <c r="E42" s="6" t="inlineStr">
        <is>
          <t>- Activate voicemail on the line from the account system
- Set call diversion on no answer to the voicemail number
- Reset the voicemail PIN and send it by SMS</t>
        </is>
      </c>
      <c r="F42" s="7" t="n"/>
      <c r="G42" s="7" t="n"/>
      <c r="H42" s="7" t="n"/>
      <c r="I42" s="7" t="n"/>
      <c r="J42" s="7" t="n"/>
      <c r="K42" s="7" t="n"/>
    </row>
    <row r="43" ht="230" customHeight="1">
      <c r="A43" s="6" t="inlineStr">
        <is>
          <t>H41</t>
        </is>
      </c>
      <c r="B43" s="6" t="inlineStr">
        <is>
          <t>My late father's services need to be switched over to me. Honestly this is ridiculous and I'm close to leaving. Cheers.</t>
        </is>
      </c>
      <c r="C43" s="6" t="inlineStr">
        <is>
          <t>[1] ticket TKT-001742: Complaint: Hello, The account holder has passed away and I need to take over. I have the death certificate. I've already looked on the website. I can't watch anything in the evenings. I'm really fed up with this. Regards. Resolut…
[2] ticket TKT-000716: Complaint: Hi there, I cancelled my service last month but you're still billing me. I returned the router. I've already logged into my account. I work from home and keep missing client calls. Honestly this is ridiculous and I'm c…
[3] ticket TKT-000760: Complaint: I was charged an early termination fee because I moved house. I've already asked about moving the service. My kids need it for school work. Very frustrating, please sort it out. Cheers. Resolution: Caller described ear…
[4] ticket TKT-000752: Complaint: Good morning, I was charged an early termination fee because I moved house. I've already asked about moving the service. I can't watch anything in the evenings. This is completely unacceptable. Resolution: Ticket raise…
[5] ticket TKT-001731: Complaint: To whom it may concern, The account holder has passed away and I need to take over. We have a joint bank account. It has been happening since last month. Please advise. Regards. Resolution: Investigated changing the ac…
[6] ticket TKT-001730: Complaint: Hi there, The account holder has passed away and I need to take over. I have the death certificate. It has been happening since yesterday. It's really disruptive. Let me know what to do. Thanks. Resolution: Ticket rais…
[7] kb article KB-0016: Early termination fees when moving home Applies to: billing_system, broadband. Typical symptoms: I was charged an early termination fee because I moved house; you billed me a cancellation fee when I moved to an area you don't cov…
[8] kb article KB-0013: Unrecognised third-party and premium SMS charges Applies to: billing_system, mobile_service. Typical symptoms: there are charges for premium text services I never signed up for; my phone bill has third-party subscription charges …</t>
        </is>
      </c>
      <c r="D43" s="6" t="inlineStr">
        <is>
          <t>1. Verify the current account holder or the bereavement documentation. [1][5][6]
2. Collect the new holder's identity and payment details. [1][5][6]
3. Complete the transfer of ownership without interrupting service. [1][5][6]</t>
        </is>
      </c>
      <c r="E43" s="6" t="inlineStr">
        <is>
          <t>- Verify the current account holder or the bereavement documentation
- Collect the new holder's identity and payment details
- Complete the transfer of ownership without interrupting service</t>
        </is>
      </c>
      <c r="F43" s="7" t="n"/>
      <c r="G43" s="7" t="n"/>
      <c r="H43" s="7" t="n"/>
      <c r="I43" s="7" t="n"/>
      <c r="J43" s="7" t="n"/>
      <c r="K43" s="7" t="n"/>
    </row>
    <row r="44" ht="230" customHeight="1">
      <c r="A44" s="6" t="inlineStr">
        <is>
          <t>H42</t>
        </is>
      </c>
      <c r="B44" s="6" t="inlineStr">
        <is>
          <t>Hi there, This statement is noticeably bigger than all the previous ones. The increase is about 15 a month. I've already compared old bills. Please advise.</t>
        </is>
      </c>
      <c r="C44" s="6" t="inlineStr">
        <is>
          <t>[1] ticket TKT-000637: Complaint: To whom it may concern, The cost of my package jumped compared to last month. I joined on a special offer last year. I've already compared old bills. Thanks in advance, you've always been helpful. Regards. Resolution: …
[2] ticket TKT-000638: Complaint: Hi, My monthly price increased a lot and I didn't change anything. I've already compared old bills. It has been happening for about a week. Can you look into it? Resolution: Customer reported bill increased after a pro…
[3] ticket TKT-000631: Complaint: Good morning, Why is my invoice much higher than usual. I've already compared old bills. It has been happening for three days. Appreciate your help as always! Regards. Resolution: Investigated bill increased after a pr…
[4] ticket TKT-000650: Complaint: To whom it may concern, The cost of my package jumped compared to last month. Nothing changed in my usage. I've already compared old bills. Very frustrating, please sort it out. Resolution: Investigated bill increased …
[5] ticket TKT-000647: Complaint: Hi, My bill suddenly went up this month without warning. I've already compared old bills. I work from home and keep missing client calls. This is completely unacceptable. Resolution: Investigated bill increased after a…
[6] ticket TKT-000628: Complaint: Hi there, Why is my invoice much higher than usual. Nothing changed in my usage. I've already compared old bills. It has been happening for two weeks. Let me know what to do. Resolution: Customer reported bill increase…
[7] kb article KB-0014: Bill increased after a promotional discount ended Applies to: billing_system. Typical symptoms: my bill suddenly went up this month without warning; my monthly price increased a lot and I didn't change anything. Cause: The introd…
[8] kb article KB-0010: Mobile data slowed after reaching the usage allowance Applies to: mobile_service. Typical symptoms: my mobile data became extremely slow halfway through the month; data speed dropped to almost nothing after I used a lot this mont…</t>
        </is>
      </c>
      <c r="D44" s="6" t="inlineStr">
        <is>
          <t>1. Check the customer's account for an expired promotional discount that may have caused the bill to increase. [2][3][4][5][6][7]
2. Explain to the customer that the introductory offer has ended and the plan has returned to the standard price. [2][3][4][5][6][7]
3. Offer the customer current retention deals or a cheaper plan that matches their usage. [2][3][4][5][6][7]
4. Confirm that the customer received the end-of-offer notification and note this on the account. [7]
5. If the issue is not resolved by the above steps, escalate to second-line support with the results of each step. [7]</t>
        </is>
      </c>
      <c r="E44" s="6" t="inlineStr">
        <is>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is>
      </c>
      <c r="F44" s="7" t="n"/>
      <c r="G44" s="7" t="n"/>
      <c r="H44" s="7" t="n"/>
      <c r="I44" s="7" t="n"/>
      <c r="J44" s="7" t="n"/>
      <c r="K44" s="7" t="n"/>
    </row>
    <row r="45" ht="230" customHeight="1">
      <c r="A45" s="6" t="inlineStr">
        <is>
          <t>H43</t>
        </is>
      </c>
      <c r="B45" s="6" t="inlineStr">
        <is>
          <t>My scheduled monthly payment was rejected and I don't know why. I've already tried to log in. It has been happening since Monday. Honestly this is ridiculous and I'm close to leaving.</t>
        </is>
      </c>
      <c r="C45" s="6" t="inlineStr">
        <is>
          <t>[1] ticket TKT-001792: Complaint: My direct debit didn't go through this month. I've already tried to log in. It has been happening since yesterday. Honestly this is ridiculous and I'm close to leaving. Cheers. Resolution: Customer reported automatic p…
[2] ticket TKT-001793: Complaint: Hi, My automatic payment keeps failing. I got a new card recently. I've already tried to log in. Honestly this is ridiculous and I'm close to leaving. Regards. Resolution: Caller described automatic payment failing. Ro…
[3] ticket TKT-001768: Complaint: Good morning, My direct debit didn't go through this month. I got a new card recently. I've already tried to log in. It has been happening since Monday. This is completely unacceptable. Thanks. Resolution: Caller descr…
[4] ticket TKT-001758: Complaint: To whom it may concern, I got a payment failed message but my card is fine. I've already tried to log in. It has been happening since last month. This is completely unacceptable. Cheers. Resolution: Ticket raised for a…
[5] ticket TKT-001766: Complaint: Hello, I got a payment failed message but my card is fine. I've already tried to log in. It has been happening since Monday. Very frustrating, please sort it out. Resolution: Caller described automatic payment failing.…
[6] ticket TKT-001786: Complaint: Hi, My direct debit didn't go through this month. I've already tried to log in. Thank you, your support has been great before. Resolution: Customer reported automatic payment failing. Advised customer to: Check the pay…
[7] kb article KB-0036: Automatic payment failing Applies to: billing_system, account_portal. Typical symptoms: my automatic payment keeps failing; autopay was declined and now I have a late fee. Cause: Expired or replaced card details on file, or bank …
[8] kb article KB-0015: Charged after cancelling a service Applies to: billing_system. Typical symptoms: I cancelled my service last month but you're still billing me; I'm still being charged even though I closed my account. Cause: The cancellation was …</t>
        </is>
      </c>
      <c r="D45" s="6" t="inlineStr">
        <is>
          <t>1. Check the payment failure reason code to identify the root cause of the rejected automatic payment. [1][2][3][4][5][6][7]
2. Update the card or bank details on the account to correct any expired, replaced, or cancelled mandate information. [1][2][3][4][5][6][7]
3. Take a one-off payment for the outstanding balance to clear the rejected monthly payment. [2][3][4][5][6][7]
4. Waive the late fee as a one-time courtesy if this was the first payment failure. [2][4][5][7]
5. Schedule a follow-up call the next day to confirm the issue is fixed. [2][3][6]
6. If the issue is not resolved by the above steps, escalate to second-line support with the results of each step. [7]</t>
        </is>
      </c>
      <c r="E45" s="6" t="inlineStr">
        <is>
          <t>- Check the payment failure reason code
- Update the card or bank details on the account
- Take a one-off payment for the outstanding balance
- Waive the late fee as a one-time courtesy if it was the first failure</t>
        </is>
      </c>
      <c r="F45" s="7" t="n"/>
      <c r="G45" s="7" t="n"/>
      <c r="H45" s="7" t="n"/>
      <c r="I45" s="7" t="n"/>
      <c r="J45" s="7" t="n"/>
      <c r="K45" s="7" t="n"/>
    </row>
    <row r="46" ht="230" customHeight="1">
      <c r="A46" s="6" t="inlineStr">
        <is>
          <t>H44</t>
        </is>
      </c>
      <c r="B46" s="6" t="inlineStr">
        <is>
          <t>Hi there, The security code you text me for signing in simply never shows up. I get other texts fine. I've already restarted my phone. Please advise. Cheers.</t>
        </is>
      </c>
      <c r="C46" s="6" t="inlineStr">
        <is>
          <t>[1] ticket TKT-001656: Complaint: The login code text isn't being delivered to my phone. I've already restarted my phone. It has been happening for about a week. Honestly this is ridiculous and I'm close to leaving. Resolution: Caller described one-tim…
[2] ticket TKT-001666: Complaint: The login code text isn't being delivered to my phone. I'm abroad. I've already requested the code several times. Thank you, your support has been great before. Regards. Resolution: Customer reported one-time passcode …
[3] ticket TKT-001709: Complaint: The login code text isn't being delivered to my phone. I'm abroad. I've already requested the code several times. This is completely unacceptable. Cheers. Resolution: Investigated one-time passcode not received. Root c…
[4] ticket TKT-001688: Complaint: Good morning, The login code text isn't being delivered to my phone. I've already restarted my phone. It has been happening for two weeks. I can't watch anything in the evenings. This is completely unacceptable. Resolu…
[5] ticket TKT-001684: Complaint: Hi, The login code text isn't being delivered to my phone. I've already requested the code several times. It has been happening since yesterday. I can't watch anything in the evenings. I'm really fed up with this. Chee…
[6] ticket TKT-001698: Complaint: The login code text isn't being delivered to my phone. I've already restarted my phone. It's really disruptive. Very frustrating, please sort it out. Resolution: Ticket raised for one-time passcode not received. Root c…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is>
      </c>
      <c r="D46" s="6" t="inlineStr">
        <is>
          <t>1. Check the mobile number registered for two-factor authentication to ensure it is current and correct [1][2][3][4][5][6][7].
2. If the registered number is outdated, update it after completing identity verification [1][2][3][4][5][6][7].
3. Check the handset for SMS blocking or spam filtering that may be preventing the code from displaying [7].
4. Offer email or authenticator-app verification as an alternative method if SMS delivery continues to fail [7].
5. If the issue persists after these steps, escalate to second-line support with the results of each step [7].</t>
        </is>
      </c>
      <c r="E46" s="6" t="inlineStr">
        <is>
          <t>- Check the mobile number registered for two-factor authentication
- Update the number after identity verification if it is outdated
- Offer email or authenticator-app verification as an alternative
- Check for SMS blocking or spam filtering on the handset</t>
        </is>
      </c>
      <c r="F46" s="7" t="n"/>
      <c r="G46" s="7" t="n"/>
      <c r="H46" s="7" t="n"/>
      <c r="I46" s="7" t="n"/>
      <c r="J46" s="7" t="n"/>
      <c r="K46" s="7" t="n"/>
    </row>
    <row r="47" ht="230" customHeight="1">
      <c r="A47" s="6" t="inlineStr">
        <is>
          <t>H45</t>
        </is>
      </c>
      <c r="B47" s="6" t="inlineStr">
        <is>
          <t>Hi there, I work night shifts and the home connection keeps vanishing after midnight. I can't watch anything in the evenings. I'm really fed up with this.</t>
        </is>
      </c>
      <c r="C47" s="6" t="inlineStr">
        <is>
          <t>[1] ticket TKT-002011: Complaint: To whom it may concern, Service cut out late last night and came back in the morning. I work night shifts. I've already restarted the router. It has been happening since last month. I can't watch anything in the evenin…
[2] ticket TKT-002017: Complaint: Hi, Every night this week the broadband stopped working overnight. I work night shifts. I've already restarted the router. It has been happening since last month. I can't watch anything in the evenings. Please advise. …
[3] ticket TKT-000292: Complaint: Streaming buffers every night even though speeds are fine in the morning. Wired speed tests are slow too. I work from home and keep missing client calls. I'm really fed up with this. Resolution: Caller described slow b…
[4] ticket TKT-000049: Complaint: Hi, The DSL light on my modem keeps flashing and the connection resyncs many times a day. I can't watch anything in the evenings. What are my options? Thanks. Resolution: Customer did not respond to follow-up. Closed w…
[5] ticket TKT-002023: Complaint: My internet goes off in the middle of the night for a few hours. It's only overnight. I've already restarted the router. It has been happening since last month. I can't watch anything in the evenings. Appreciate your h…
[6] ticket TKT-001875: Complaint: Hey, The whole neighbourhood has lost internet since this morning. It started around 9am. I can't watch anything in the evenings. I'm really fed up with this. Regards. Resolution: Investigated area-wide broadband outag…
[7] kb article KB-0001: Fixing evening Wi-Fi dropouts caused by channel interference Applies to: router, broadband. Typical symptoms: my wifi keeps dropping out every evening around evening; the wireless connection cuts out repeatedly at night but the b…
[8] kb article KB-0040: Overnight outages from planned maintenance Applies to: broadband. Typical symptoms: my internet goes off in the middle of the night for a few hours; the connection was down between midnight and 4am. Cause: Planned network mainten…</t>
        </is>
      </c>
      <c r="D47" s="6" t="inlineStr">
        <is>
          <t>1. Check the planned maintenance schedule for the customer's exchange to identify if the overnight outages are due to scheduled network maintenance. [1][2][5][8]
2. Confirm the specific maintenance window and the expected completion date for the identified maintenance. [1][2][5][8]
3. Sign the customer up for maintenance notifications so they are alerted to future scheduled outages. [1][2][5][8]
4. If the outages are not related to planned maintenance, run a wired speed test at peak and off-peak times to confirm if the issue is network-side congestion. [3]
5. Check the network capacity dashboard for congestion on the customer's cabinet to verify if peak-hour slowdowns are causing the connection issues. [3]
6. If the issue persists and is not related to maintenance or congestion, escalate to second-line support with the results of the diagnostic steps. [7][8]</t>
        </is>
      </c>
      <c r="E47" s="6" t="inlineStr">
        <is>
          <t>- Check the planned maintenance schedule for the customer's exchange
- Confirm the maintenance window and expected completion date
- Sign the customer up for maintenance notifications</t>
        </is>
      </c>
      <c r="F47" s="7" t="n"/>
      <c r="G47" s="7" t="n"/>
      <c r="H47" s="7" t="n"/>
      <c r="I47" s="7" t="n"/>
      <c r="J47" s="7" t="n"/>
      <c r="K47" s="7" t="n"/>
    </row>
    <row r="48" ht="230" customHeight="1">
      <c r="A48" s="6" t="inlineStr">
        <is>
          <t>H46</t>
        </is>
      </c>
      <c r="B48" s="6" t="inlineStr">
        <is>
          <t>Mysterious weekly fees from an outside provider are appearing on my statement. I've already replied STOP to the texts. It has been happening since Monday. I can't watch anything in the evenings. Very frustrating, please sort it out. Regards.</t>
        </is>
      </c>
      <c r="C48" s="6" t="inlineStr">
        <is>
          <t>[1] ticket TKT-000576: Complaint: Good morning, I'm being charged weekly for some SMS service I didn't order. I've already searched the company name. It has been happening since Monday. It's really disruptive. Very frustrating, please sort it out. Rega…
[2] ticket TKT-000571: Complaint: Hey, My mobile bill includes content charges from a company I've never heard of. It has been happening since last month. I can't watch anything in the evenings. Very frustrating, please sort it out. Cheers. Resolution:…
[3] ticket TKT-000593: Complaint: Good morning, My mobile bill includes content charges from a company I've never heard of. My child uses the phone. I've already checked my bill online. It has been happening since Monday. I can't watch anything in the …
[4] ticket TKT-000597: Complaint: Hi there, I'm being charged weekly for some SMS service I didn't order. I've already replied STOP to the texts. It has been happening for two weeks. Thank you, your support has been great before. Resolution: Investigat…
[5] ticket TKT-000555: Complaint: Hi there, I'm being charged weekly for some SMS service I didn't order. It's been going on for three months. I can't watch anything in the evenings. Please advise. Regards. Resolution: Customer reported unrecognised th…
[6] ticket TKT-000537: Complaint: My mobile bill includes content charges from a company I've never heard of. It's been going on for three months. I've already replied STOP to the texts. It has been happening for two weeks. Let me know what to do. Than…
[7] kb article KB-0015: Charged after cancelling a service Applies to: billing_system. Typical symptoms: I cancelled my service last month but you're still billing me; I'm still being charged even though I closed my account. Cause: The cancellation was …
[8] kb article KB-0013: Unrecognised third-party and premium SMS charges Applies to: billing_system, mobile_service. Typical symptoms: there are charges for premium text services I never signed up for; my phone bill has third-party subscription charges …</t>
        </is>
      </c>
      <c r="D48" s="6" t="inlineStr">
        <is>
          <t>1. Identify the third-party service and its start date from the billing detail. [2][3][4][6][8]
2. Cancel the subscription and apply a premium services bar on the line. [2][3][4][5][6][8]
3. Raise a refund request for the disputed third-party charges. [1][3][5][6][8]
4. Advise the customer to enable spending controls for children's phones. [1][5][6][8]
5. If the issue is not resolved, escalate to second-line support with the results of each step. [8]</t>
        </is>
      </c>
      <c r="E48" s="6" t="inlineStr">
        <is>
          <t>- Identify the third-party service and its start date from the billing detail
- Cancel the subscription and apply a premium services bar on the line
- Raise a refund request for the disputed third-party charges
- Advise the customer to enable spending controls for children's phones</t>
        </is>
      </c>
      <c r="F48" s="7" t="n"/>
      <c r="G48" s="7" t="n"/>
      <c r="H48" s="7" t="n"/>
      <c r="I48" s="7" t="n"/>
      <c r="J48" s="7" t="n"/>
      <c r="K48" s="7" t="n"/>
    </row>
    <row r="49" ht="230" customHeight="1">
      <c r="A49" s="6" t="inlineStr">
        <is>
          <t>H47</t>
        </is>
      </c>
      <c r="B49" s="6" t="inlineStr">
        <is>
          <t>The website won't let me into my profile after several wrong tries. I've already tried resetting the password. My kids need it for school work. Very frustrating, please sort it out. Regards.</t>
        </is>
      </c>
      <c r="C49" s="6" t="inlineStr">
        <is>
          <t>[1] ticket TKT-001637: Complaint: I can't sign in to the app any more. I use the app. It has been happening since Monday. My kids need it for school work. Honestly this is ridiculous and I'm close to leaving. Thanks. Resolution: Customer reported locke…
[2] ticket TKT-001636: Complaint: Hi, I'm locked out of my online account. I use the app. I've already tried resetting the password. It has been happening for three days. Very frustrating, please sort it out. Resolution: Investigated locked out of the …
[3] ticket TKT-001648: Complaint: Hi there, I forgot my password and can't log in. I use the app. It has been happening since Monday. My kids need it for school work. Please advise. Resolution: Investigated locked out of the online account. Verify the …
[4] ticket TKT-001641: Complaint: I can't sign in to the app any more. I use the app. My kids need it for school work. I'm really fed up with this. Resolution: Investigated locked out of the online account. Root cause: Account locked after failed attem…
[5] ticket TKT-001638: Complaint: I'm locked out of my online account. I use the app. I've already used another browser. This is completely unacceptable. Regards. Resolution: Investigated locked out of the online account. Verify the customer's identity…
[6] kb article KB-0033: Locked out of the online account Applies to: account_portal. Typical symptoms: I'm locked out of my online account; I forgot my password and can't log in. Cause: Account locked after failed attempts or outdated recovery details. …
[7] ticket TKT-001634: Complaint: I can't sign in to the app any more. I changed my email address. I've already used another browser. Thanks in advance, you've always been helpful. Regards. Resolution: Ticket raised for locked out of the online account…
[8] kb article KB-0005: Device can't join Wi-Fi after a password or security change Applies to: router. Typical symptoms: one of my devices won't connect to the wifi after I changed the password; my laptop says incorrect password for the wifi even thoug…</t>
        </is>
      </c>
      <c r="D49" s="6" t="inlineStr">
        <is>
          <t>1. Verify the customer's identity using the account's security questions. [1][2][3][4][5][6][7]
2. Unlock the customer's online account. [1][2][3][4][5][6][7]
3. Send a new password reset link to the customer. [1][2][3][4][5][6][7]
4. Update the recovery email or mobile number if it is outdated. [2][3][4][6]
5. If the issue is not resolved after the above steps, escalate the ticket to second-line support with the results of each step. [6]</t>
        </is>
      </c>
      <c r="E49" s="6" t="inlineStr">
        <is>
          <t>- Verify the customer's identity with security questions
- Unlock the account and send a password reset link
- Update the recovery email or mobile number if it is outdated</t>
        </is>
      </c>
      <c r="F49" s="7" t="n"/>
      <c r="G49" s="7" t="n"/>
      <c r="H49" s="7" t="n"/>
      <c r="I49" s="7" t="n"/>
      <c r="J49" s="7" t="n"/>
      <c r="K49" s="7" t="n"/>
    </row>
    <row r="50" ht="230" customHeight="1">
      <c r="A50" s="6" t="inlineStr">
        <is>
          <t>H48</t>
        </is>
      </c>
      <c r="B50" s="6" t="inlineStr">
        <is>
          <t>Hello, My CCTV remote viewing breaks because my public address keeps changing. I host a website. I've already used dynamic DNS. It has been happening for two weeks. This is completely unacceptable.</t>
        </is>
      </c>
      <c r="C50" s="6" t="inlineStr">
        <is>
          <t>[1] ticket TKT-001622: Complaint: My IP address keeps changing and I need it to stay the same. I run a small business from home. I've already used dynamic DNS. It has been happening since yesterday. Please advise. Resolution: Ticket raised for requesti…
[2] ticket TKT-001611: Complaint: My IP address keeps changing and I need it to stay the same. I use a VPN. It has been happening for two weeks. I can't watch anything in the evenings. Please advise. Regards. Resolution: Ticket raised for requesting a …
[3] ticket TKT-001580: Complaint: Good morning, My IP address keeps changing and I need it to stay the same. I've already used dynamic DNS. It has been happening for about a week. I'm really fed up with this. Resolution: Investigated requesting a stati…
[4] ticket TKT-001599: Complaint: Hello, My IP address keeps changing and I need it to stay the same. I use a VPN. I've already used dynamic DNS. It has been happening for two weeks. My kids need it for school work. Thank you, your support has been gre…
[5] ticket TKT-001584: Complaint: To whom it may concern, My IP address keeps changing and I need it to stay the same. I run a small business from home. I've already looked on the website. It has been happening for three days. I work from home and keep…
[6] ticket TKT-001589: Complaint: My IP address keeps changing and I need it to stay the same. I use a VPN. This is completely unacceptable. Thanks. Resolution: Caller described requesting a static ip address. Root cause: Dynamic public IP allocation; …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is>
      </c>
      <c r="D50" s="6" t="inlineStr">
        <is>
          <t>1. Explain the difference between dynamic and static IP addresses to the customer. [1][3][5][7]
2. Add the static IP add-on to the customer's account. [1][3][4][5][7]
3. Ask the customer to restart the router to receive the new static IP. [2][3][4][5][6][7]
4. Suggest dynamic DNS as a free alternative if the customer prefers not to purchase the add-on. [2][5][6][7]</t>
        </is>
      </c>
      <c r="E50" s="6" t="inlineStr">
        <is>
          <t>- Explain the difference between dynamic and static IP addresses
- Add the static IP add-on to the account
- Ask the customer to restart the router to receive the static IP
- Suggest dynamic DNS as a free alternative</t>
        </is>
      </c>
      <c r="F50" s="7" t="n"/>
      <c r="G50" s="7" t="n"/>
      <c r="H50" s="7" t="n"/>
      <c r="I50" s="7" t="n"/>
      <c r="J50" s="7" t="n"/>
      <c r="K50" s="7" t="n"/>
    </row>
    <row r="51" ht="230" customHeight="1">
      <c r="A51" s="6" t="inlineStr">
        <is>
          <t>H49</t>
        </is>
      </c>
      <c r="B51" s="6" t="inlineStr">
        <is>
          <t>Out of nowhere my phone stopped seeing the little chip and I have no network. Another SIM works in my phone. Let me know what to do.</t>
        </is>
      </c>
      <c r="C51" s="6" t="inlineStr">
        <is>
          <t>[1] ticket TKT-000942: Complaint: My mobile suddenly lost service and shows SIM not recognised. I dropped the phone recently. It has been happening for two weeks. It's really disruptive. This is completely unacceptable. Resolution: Ticket raised for ph…
[2] ticket TKT-000952: Complaint: Hello, The SIM is not detected and I can't make calls. I dropped the phone recently. I've already cleaned the SIM. It has been happening for three days. My kids need it for school work. Thank you, your support has been…
[3] ticket TKT-000929: Complaint: My mobile suddenly lost service and shows SIM not recognised. The SIM is several years old. I've already restarted the phone. It has been happening for about a week. My kids need it for school work. This is completely …
[4] ticket TKT-000927: Complaint: Hi there, The SIM is not detected and I can't make calls. It has been happening for two weeks. I run my business from home and this is costing me money. Let me know what to do. Thanks. Resolution: Ticket raised for pho…
[5] ticket TKT-000953: Complaint: My mobile suddenly lost service and shows SIM not recognised. I dropped the phone recently. I've already took the SIM out and put it back. It has been happening for about a week. I'm really fed up with this. Thanks. Re…
[6] ticket TKT-000940: Complaint: Hey, My mobile suddenly lost service and shows SIM not recognised. The SIM is several years old. I've already took the SIM out and put it back. I work from home and keep missing client calls. Honestly this is ridiculou…
[7] kb article KB-0020: Phone shows 'No SIM' or 'Invalid SIM' Applies to: mobile_service. Typical symptoms: my phone says no SIM card inserted; the SIM is not detected and I can't make calls. Cause: Damaged or worn SIM card, or a SIM tray/reader issue. …
[8] kb article KB-0009: Phone stuck on 4G with a 5G plan Applies to: 5g_service, mobile_service. Typical symptoms: my phone stays on 4G even in 5G areas and data is slow; I have a 5G plan but my phone only shows LTE. Cause: 5G disabled in handset settin…</t>
        </is>
      </c>
      <c r="D51" s="6" t="inlineStr">
        <is>
          <t>1. Power off the phone, reseat the SIM in the tray, and restart the device. [1][2][3][4][5][6][7]
2. Test the SIM in another phone to isolate whether the issue is with the SIM or the handset. [1][2][3][4][5][6][7]
3. If the SIM fails in other phones, issue a replacement SIM and keep the same number. [5][6][7]
4. If the SIM works in another phone, refer the handset for repair. [6][7]
5. If the issue is not resolved by the above steps, escalate to second-line support with the results of each step. [7]</t>
        </is>
      </c>
      <c r="E51" s="6" t="inlineStr">
        <is>
          <t>- Power off the phone, reseat the SIM in the tray and restart
- Test the SIM in another phone to isolate SIM versus handset
- If the SIM fails in other phones, issue a replacement SIM and keep the same number
- If the SIM works elsewhere, refer the handset for repair</t>
        </is>
      </c>
      <c r="F51" s="7" t="n"/>
      <c r="G51" s="7" t="n"/>
      <c r="H51" s="7" t="n"/>
      <c r="I51" s="7" t="n"/>
      <c r="J51" s="7" t="n"/>
      <c r="K51" s="7" t="n"/>
    </row>
    <row r="52" ht="230" customHeight="1">
      <c r="A52" s="6" t="inlineStr">
        <is>
          <t>H50</t>
        </is>
      </c>
      <c r="B52" s="6" t="inlineStr">
        <is>
          <t>Good morning, The network indicator never switches to the faster mode I'm paying for, downloads are poor. I got the phone abroad. I can't watch anything in the evenings. Very frustrating, please sort it out. Regards.</t>
        </is>
      </c>
      <c r="C52" s="6" t="inlineStr">
        <is>
          <t>[1] kb article KB-0007: Slow broadband at peak evening hours Applies to: broadband. Typical symptoms: my broadband gets very slow every evening between evening and 11; internet speed drops massively at peak times in the evening. Cause: Network congestio…
[2] ticket TKT-000294: Complaint: Speed tests show a fraction of my plan speed in the evenings. Wired speed tests are slow too. It has been happening for three days. I can't watch anything in the evenings. Thank you, your support has been great before.…
[3] ticket TKT-000301: Complaint: Good morning, My broadband gets very slow every evening between 7pm and 11. The whole street seems affected. I've already ran speed tests. It's really disruptive. Very frustrating, please sort it out. Resolution: Inves…
[4] ticket TKT-000297: Complaint: Internet speed drops massively at peak times in the evening. It has been happening for two weeks. I can't watch anything in the evenings. I'm really fed up with this. Cheers. Resolution: Caller described slow broadband…
[5] ticket TKT-000282: Complaint: To whom it may concern, Speed tests show a fraction of my plan speed in the evenings. Wired speed tests are slow too. I've already restarted the router. Appreciate your help as always! Resolution: Ticket raised for slo…
[6] ticket TKT-000410: Complaint: Hey, My new 5G phone keeps falling back to 4G with slow speeds. I can't watch anything in the evenings. Very frustrating, please sort it out. Resolution: Ticket raised for phone stuck on 4g with a 5g plan. Walked custo…
[7] ticket TKT-000438: Complaint: 5G icon never appears and mobile data is sluggish. It's really disruptive. Appreciate your help as always! Cheers. Resolution: Caller described phone stuck on 4g with a 5g plan. Agent action: Set the phone's preferred …
[8] kb article KB-0026: Speed upgrade not applied Applies to: broadband. Typical symptoms: I upgraded my broadband package but the speed hasn't changed; I'm paying for the faster plan now but still getting my old speed. Cause: New speed profile not yet …</t>
        </is>
      </c>
      <c r="D52" s="6" t="inlineStr">
        <is>
          <t>1. Set the phone's preferred network type to 5G/Auto in the mobile network settings to ensure it attempts to connect to the faster network [6][7].
2. Install the latest carrier settings and phone software updates to ensure the device is fully compatible with the 5G network [6][7].
3. Check that the SIM card is 5G-enabled and replace it if it is an older generation that does not support 5G [6].
4. Run a wired speed test at peak and off-peak times to confirm if the slowdown is network-side or specific to the mobile device [1][2][3][4][5].
5. Check the network capacity dashboard for congestion on the customer's local cabinet to identify if peak-hour network congestion is the root cause [1][2][3][4][5].
6. Raise a congestion ticket with the network team if the cabinet utilisation is above the threshold, or escalate to second-line support if the issue persists [1][2][3].</t>
        </is>
      </c>
      <c r="E52" s="6" t="inlineStr">
        <is>
          <t>- Set the phone's preferred network type to 5G/Auto in mobile network settings
- Install the latest carrier settings and phone software update
- Check that the SIM is 5G-enabled and replace older SIMs
- Confirm 5G is provisioned on the account and the handset model is supported</t>
        </is>
      </c>
      <c r="F52" s="7" t="n"/>
      <c r="G52" s="7" t="n"/>
      <c r="H52" s="7" t="n"/>
      <c r="I52" s="7" t="n"/>
      <c r="J52" s="7" t="n"/>
      <c r="K52" s="7" t="n"/>
    </row>
  </sheetData>
  <dataValidations count="3">
    <dataValidation sqref="F3:F52 G3:G52 H3:H52" showDropDown="0" showInputMessage="0" showErrorMessage="1" allowBlank="1" errorTitle="Invalid rating" error="Choose 1-5" type="list">
      <formula1>"1,2,3,4,5"</formula1>
    </dataValidation>
    <dataValidation sqref="I3:I52" showDropDown="0" showInputMessage="0" showErrorMessage="1" allowBlank="1" type="list">
      <formula1>"Yes,No"</formula1>
    </dataValidation>
    <dataValidation sqref="J3:J52" showDropDown="0" showInputMessage="0" showErrorMessage="1" allowBlank="1" type="list">
      <formula1>"RESOLVE,REVIEW,ESCALATE"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M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34" customWidth="1" min="3" max="3"/>
    <col width="20" customWidth="1" min="4" max="4"/>
    <col width="14" customWidth="1" min="5" max="5"/>
    <col width="12" customWidth="1" min="6" max="6"/>
    <col width="13" customWidth="1" min="7" max="7"/>
    <col width="16" customWidth="1" min="8" max="8"/>
    <col width="12" customWidth="1" min="9" max="9"/>
    <col width="13" customWidth="1" min="10" max="10"/>
    <col width="12" customWidth="1" min="11" max="11"/>
    <col width="12" customWidth="1" min="12" max="12"/>
    <col width="12" customWidth="1" min="13" max="13"/>
  </cols>
  <sheetData>
    <row r="1" ht="42" customHeight="1">
      <c r="A1" s="4" t="inlineStr">
        <is>
          <t>Sample</t>
        </is>
      </c>
      <c r="B1" s="4" t="inlineStr">
        <is>
          <t>Case ID</t>
        </is>
      </c>
      <c r="C1" s="4" t="inlineStr">
        <is>
          <t>Scenario</t>
        </is>
      </c>
      <c r="D1" s="4" t="inlineStr">
        <is>
          <t>Category</t>
        </is>
      </c>
      <c r="E1" s="4" t="inlineStr">
        <is>
          <t>System decision</t>
        </is>
      </c>
      <c r="F1" s="4" t="inlineStr">
        <is>
          <t>Heuristic confidence</t>
        </is>
      </c>
      <c r="G1" s="4" t="inlineStr">
        <is>
          <t>Groundedness</t>
        </is>
      </c>
      <c r="H1" s="4" t="inlineStr">
        <is>
          <t>Auto metric: reference-step recall</t>
        </is>
      </c>
      <c r="I1" s="4" t="inlineStr">
        <is>
          <t>LLM-judge relevance</t>
        </is>
      </c>
      <c r="J1" s="4" t="inlineStr">
        <is>
          <t>LLM-judge completeness</t>
        </is>
      </c>
      <c r="K1" s="4" t="inlineStr">
        <is>
          <t>LLM-judge specificity</t>
        </is>
      </c>
      <c r="L1" s="4" t="inlineStr">
        <is>
          <t>LLM-judge correctness</t>
        </is>
      </c>
      <c r="M1" s="4" t="inlineStr">
        <is>
          <t>Draft empty (declined)</t>
        </is>
      </c>
    </row>
    <row r="2">
      <c r="A2" s="8" t="inlineStr">
        <is>
          <t>EX</t>
        </is>
      </c>
    </row>
    <row r="3">
      <c r="A3" s="9" t="inlineStr">
        <is>
          <t>H01</t>
        </is>
      </c>
      <c r="B3" s="9" t="inlineStr">
        <is>
          <t>GEN-0031</t>
        </is>
      </c>
      <c r="C3" s="9" t="inlineStr">
        <is>
          <t>CONN_MOBILE_INDOOR_SIGNAL</t>
        </is>
      </c>
      <c r="D3" s="9" t="inlineStr">
        <is>
          <t>connectivity_issue</t>
        </is>
      </c>
      <c r="E3" s="9" t="inlineStr">
        <is>
          <t>RESOLVE</t>
        </is>
      </c>
      <c r="F3" s="10" t="n">
        <v>0.9267</v>
      </c>
      <c r="G3" s="10" t="n">
        <v>1</v>
      </c>
      <c r="H3" s="9" t="n">
        <v>0.75</v>
      </c>
      <c r="I3" s="9" t="n">
        <v>5</v>
      </c>
      <c r="J3" s="9" t="n">
        <v>5</v>
      </c>
      <c r="K3" s="9" t="n">
        <v>4</v>
      </c>
      <c r="L3" s="9" t="n">
        <v>5</v>
      </c>
      <c r="M3" s="9" t="inlineStr">
        <is>
          <t>No</t>
        </is>
      </c>
    </row>
    <row r="4">
      <c r="A4" s="9" t="inlineStr">
        <is>
          <t>H02</t>
        </is>
      </c>
      <c r="B4" s="9" t="inlineStr">
        <is>
          <t>GEN-0011</t>
        </is>
      </c>
      <c r="C4" s="9" t="inlineStr">
        <is>
          <t>ACC_LOCKED_OUT</t>
        </is>
      </c>
      <c r="D4" s="9" t="inlineStr">
        <is>
          <t>account_management</t>
        </is>
      </c>
      <c r="E4" s="9" t="inlineStr">
        <is>
          <t>RESOLVE</t>
        </is>
      </c>
      <c r="F4" s="10" t="n">
        <v>0.7805</v>
      </c>
      <c r="G4" s="10" t="n">
        <v>1</v>
      </c>
      <c r="H4" s="9" t="n">
        <v>1</v>
      </c>
      <c r="I4" s="9" t="n">
        <v>5</v>
      </c>
      <c r="J4" s="9" t="n">
        <v>5</v>
      </c>
      <c r="K4" s="9" t="n">
        <v>5</v>
      </c>
      <c r="L4" s="9" t="n">
        <v>5</v>
      </c>
      <c r="M4" s="9" t="inlineStr">
        <is>
          <t>No</t>
        </is>
      </c>
    </row>
    <row r="5">
      <c r="A5" s="9" t="inlineStr">
        <is>
          <t>H03</t>
        </is>
      </c>
      <c r="B5" s="9" t="inlineStr">
        <is>
          <t>GEN-0029</t>
        </is>
      </c>
      <c r="C5" s="9" t="inlineStr">
        <is>
          <t>SPEED_5G_FALLBACK</t>
        </is>
      </c>
      <c r="D5" s="9" t="inlineStr">
        <is>
          <t>speed_issue</t>
        </is>
      </c>
      <c r="E5" s="9" t="inlineStr">
        <is>
          <t>RESOLVE</t>
        </is>
      </c>
      <c r="F5" s="10" t="n">
        <v>0.8278</v>
      </c>
      <c r="G5" s="10" t="n">
        <v>1</v>
      </c>
      <c r="H5" s="9" t="n">
        <v>0</v>
      </c>
      <c r="I5" s="9" t="n">
        <v>1</v>
      </c>
      <c r="J5" s="9" t="n">
        <v>1</v>
      </c>
      <c r="K5" s="9" t="n">
        <v>2</v>
      </c>
      <c r="L5" s="9" t="n">
        <v>1</v>
      </c>
      <c r="M5" s="9" t="inlineStr">
        <is>
          <t>No</t>
        </is>
      </c>
    </row>
    <row r="6">
      <c r="A6" s="9" t="inlineStr">
        <is>
          <t>H04</t>
        </is>
      </c>
      <c r="B6" s="9" t="inlineStr">
        <is>
          <t>GEN-0045</t>
        </is>
      </c>
      <c r="C6" s="9" t="inlineStr">
        <is>
          <t>SPEED_PEAK_CONGESTION</t>
        </is>
      </c>
      <c r="D6" s="9" t="inlineStr">
        <is>
          <t>speed_issue</t>
        </is>
      </c>
      <c r="E6" s="9" t="inlineStr">
        <is>
          <t>REVIEW</t>
        </is>
      </c>
      <c r="F6" s="10" t="n">
        <v>0.9112</v>
      </c>
      <c r="G6" s="10" t="n">
        <v>1</v>
      </c>
      <c r="H6" s="9" t="n">
        <v>1</v>
      </c>
      <c r="I6" s="9" t="n">
        <v>5</v>
      </c>
      <c r="J6" s="9" t="n">
        <v>5</v>
      </c>
      <c r="K6" s="9" t="n">
        <v>5</v>
      </c>
      <c r="L6" s="9" t="n">
        <v>5</v>
      </c>
      <c r="M6" s="9" t="inlineStr">
        <is>
          <t>No</t>
        </is>
      </c>
    </row>
    <row r="7">
      <c r="A7" s="9" t="inlineStr">
        <is>
          <t>H05</t>
        </is>
      </c>
      <c r="B7" s="9" t="inlineStr">
        <is>
          <t>GEN-0009</t>
        </is>
      </c>
      <c r="C7" s="9" t="inlineStr">
        <is>
          <t>BILL_ETF_HOME_MOVE</t>
        </is>
      </c>
      <c r="D7" s="9" t="inlineStr">
        <is>
          <t>billing_dispute</t>
        </is>
      </c>
      <c r="E7" s="9" t="inlineStr">
        <is>
          <t>RESOLVE</t>
        </is>
      </c>
      <c r="F7" s="10" t="n">
        <v>0.9141</v>
      </c>
      <c r="G7" s="10" t="n">
        <v>1</v>
      </c>
      <c r="H7" s="9" t="n">
        <v>1</v>
      </c>
      <c r="I7" s="9" t="n">
        <v>5</v>
      </c>
      <c r="J7" s="9" t="n">
        <v>5</v>
      </c>
      <c r="K7" s="9" t="n">
        <v>5</v>
      </c>
      <c r="L7" s="9" t="n">
        <v>5</v>
      </c>
      <c r="M7" s="9" t="inlineStr">
        <is>
          <t>No</t>
        </is>
      </c>
    </row>
    <row r="8">
      <c r="A8" s="9" t="inlineStr">
        <is>
          <t>H06</t>
        </is>
      </c>
      <c r="B8" s="9" t="inlineStr">
        <is>
          <t>GEN-0020</t>
        </is>
      </c>
      <c r="C8" s="9" t="inlineStr">
        <is>
          <t>ACC_OTP_NOT_RECEIVED</t>
        </is>
      </c>
      <c r="D8" s="9" t="inlineStr">
        <is>
          <t>account_management</t>
        </is>
      </c>
      <c r="E8" s="9" t="inlineStr">
        <is>
          <t>RESOLVE</t>
        </is>
      </c>
      <c r="F8" s="10" t="n">
        <v>0.9303</v>
      </c>
      <c r="G8" s="10" t="n">
        <v>1</v>
      </c>
      <c r="H8" s="9" t="n">
        <v>0.5</v>
      </c>
      <c r="I8" s="9" t="n">
        <v>5</v>
      </c>
      <c r="J8" s="9" t="n">
        <v>5</v>
      </c>
      <c r="K8" s="9" t="n">
        <v>4</v>
      </c>
      <c r="L8" s="9" t="n">
        <v>5</v>
      </c>
      <c r="M8" s="9" t="inlineStr">
        <is>
          <t>No</t>
        </is>
      </c>
    </row>
    <row r="9">
      <c r="A9" s="9" t="inlineStr">
        <is>
          <t>H07</t>
        </is>
      </c>
      <c r="B9" s="9" t="inlineStr">
        <is>
          <t>GEN-0012</t>
        </is>
      </c>
      <c r="C9" s="9" t="inlineStr">
        <is>
          <t>ACT_FIBER_NOT_PROVISIONED</t>
        </is>
      </c>
      <c r="D9" s="9" t="inlineStr">
        <is>
          <t>service_activation</t>
        </is>
      </c>
      <c r="E9" s="9" t="inlineStr">
        <is>
          <t>ESCALATE</t>
        </is>
      </c>
      <c r="F9" s="10" t="n">
        <v>0.3558</v>
      </c>
      <c r="G9" s="10" t="n">
        <v>0</v>
      </c>
      <c r="H9" s="9" t="n">
        <v>0</v>
      </c>
      <c r="I9" s="9" t="n">
        <v>1</v>
      </c>
      <c r="J9" s="9" t="n">
        <v>1</v>
      </c>
      <c r="K9" s="9" t="n">
        <v>1</v>
      </c>
      <c r="L9" s="9" t="n">
        <v>1</v>
      </c>
      <c r="M9" s="9" t="inlineStr">
        <is>
          <t>Yes</t>
        </is>
      </c>
    </row>
    <row r="10">
      <c r="A10" s="9" t="inlineStr">
        <is>
          <t>H08</t>
        </is>
      </c>
      <c r="B10" s="9" t="inlineStr">
        <is>
          <t>GEN-0051</t>
        </is>
      </c>
      <c r="C10" s="9" t="inlineStr">
        <is>
          <t>HW_RESET_LOST_CONFIG</t>
        </is>
      </c>
      <c r="D10" s="9" t="inlineStr">
        <is>
          <t>hardware_problem</t>
        </is>
      </c>
      <c r="E10" s="9" t="inlineStr">
        <is>
          <t>RESOLVE</t>
        </is>
      </c>
      <c r="F10" s="10" t="n">
        <v>0.8875</v>
      </c>
      <c r="G10" s="10" t="n">
        <v>1</v>
      </c>
      <c r="H10" s="9" t="n">
        <v>0</v>
      </c>
      <c r="I10" s="9" t="n">
        <v>1</v>
      </c>
      <c r="J10" s="9" t="n">
        <v>1</v>
      </c>
      <c r="K10" s="9" t="n">
        <v>2</v>
      </c>
      <c r="L10" s="9" t="n">
        <v>2</v>
      </c>
      <c r="M10" s="9" t="inlineStr">
        <is>
          <t>No</t>
        </is>
      </c>
    </row>
    <row r="11">
      <c r="A11" s="9" t="inlineStr">
        <is>
          <t>H09</t>
        </is>
      </c>
      <c r="B11" s="9" t="inlineStr">
        <is>
          <t>GEN-0008</t>
        </is>
      </c>
      <c r="C11" s="9" t="inlineStr">
        <is>
          <t>CONN_DSL_LINE_NOISE</t>
        </is>
      </c>
      <c r="D11" s="9" t="inlineStr">
        <is>
          <t>connectivity_issue</t>
        </is>
      </c>
      <c r="E11" s="9" t="inlineStr">
        <is>
          <t>RESOLVE</t>
        </is>
      </c>
      <c r="F11" s="10" t="n">
        <v>0.8252</v>
      </c>
      <c r="G11" s="10" t="n">
        <v>1</v>
      </c>
      <c r="H11" s="9" t="n">
        <v>1</v>
      </c>
      <c r="I11" s="9" t="n">
        <v>5</v>
      </c>
      <c r="J11" s="9" t="n">
        <v>5</v>
      </c>
      <c r="K11" s="9" t="n">
        <v>5</v>
      </c>
      <c r="L11" s="9" t="n">
        <v>5</v>
      </c>
      <c r="M11" s="9" t="inlineStr">
        <is>
          <t>No</t>
        </is>
      </c>
    </row>
    <row r="12">
      <c r="A12" s="9" t="inlineStr">
        <is>
          <t>H10</t>
        </is>
      </c>
      <c r="B12" s="9" t="inlineStr">
        <is>
          <t>GEN-0040</t>
        </is>
      </c>
      <c r="C12" s="9" t="inlineStr">
        <is>
          <t>CONN_MOBILE_INDOOR_SIGNAL</t>
        </is>
      </c>
      <c r="D12" s="9" t="inlineStr">
        <is>
          <t>connectivity_issue</t>
        </is>
      </c>
      <c r="E12" s="9" t="inlineStr">
        <is>
          <t>REVIEW</t>
        </is>
      </c>
      <c r="F12" s="10" t="n">
        <v>0.8729</v>
      </c>
      <c r="G12" s="10" t="n">
        <v>1</v>
      </c>
      <c r="H12" s="9" t="n">
        <v>0.75</v>
      </c>
      <c r="I12" s="9" t="n">
        <v>5</v>
      </c>
      <c r="J12" s="9" t="n">
        <v>5</v>
      </c>
      <c r="K12" s="9" t="n">
        <v>4</v>
      </c>
      <c r="L12" s="9" t="n">
        <v>5</v>
      </c>
      <c r="M12" s="9" t="inlineStr">
        <is>
          <t>No</t>
        </is>
      </c>
    </row>
    <row r="13">
      <c r="A13" s="9" t="inlineStr">
        <is>
          <t>H11</t>
        </is>
      </c>
      <c r="B13" s="9" t="inlineStr">
        <is>
          <t>GEN-0030</t>
        </is>
      </c>
      <c r="C13" s="9" t="inlineStr">
        <is>
          <t>BILL_ETF_HOME_MOVE</t>
        </is>
      </c>
      <c r="D13" s="9" t="inlineStr">
        <is>
          <t>billing_dispute</t>
        </is>
      </c>
      <c r="E13" s="9" t="inlineStr">
        <is>
          <t>RESOLVE</t>
        </is>
      </c>
      <c r="F13" s="10" t="n">
        <v>0.9278999999999999</v>
      </c>
      <c r="G13" s="10" t="n">
        <v>1</v>
      </c>
      <c r="H13" s="9" t="n">
        <v>1</v>
      </c>
      <c r="I13" s="9" t="n">
        <v>5</v>
      </c>
      <c r="J13" s="9" t="n">
        <v>5</v>
      </c>
      <c r="K13" s="9" t="n">
        <v>5</v>
      </c>
      <c r="L13" s="9" t="n">
        <v>5</v>
      </c>
      <c r="M13" s="9" t="inlineStr">
        <is>
          <t>No</t>
        </is>
      </c>
    </row>
    <row r="14">
      <c r="A14" s="9" t="inlineStr">
        <is>
          <t>H12</t>
        </is>
      </c>
      <c r="B14" s="9" t="inlineStr">
        <is>
          <t>GEN-0047</t>
        </is>
      </c>
      <c r="C14" s="9" t="inlineStr">
        <is>
          <t>SPEED_5G_FALLBACK</t>
        </is>
      </c>
      <c r="D14" s="9" t="inlineStr">
        <is>
          <t>speed_issue</t>
        </is>
      </c>
      <c r="E14" s="9" t="inlineStr">
        <is>
          <t>RESOLVE</t>
        </is>
      </c>
      <c r="F14" s="10" t="n">
        <v>0.8329</v>
      </c>
      <c r="G14" s="10" t="n">
        <v>1</v>
      </c>
      <c r="H14" s="9" t="n">
        <v>0</v>
      </c>
      <c r="I14" s="9" t="n">
        <v>1</v>
      </c>
      <c r="J14" s="9" t="n">
        <v>1</v>
      </c>
      <c r="K14" s="9" t="n">
        <v>2</v>
      </c>
      <c r="L14" s="9" t="n">
        <v>1</v>
      </c>
      <c r="M14" s="9" t="inlineStr">
        <is>
          <t>No</t>
        </is>
      </c>
    </row>
    <row r="15">
      <c r="A15" s="9" t="inlineStr">
        <is>
          <t>H13</t>
        </is>
      </c>
      <c r="B15" s="9" t="inlineStr">
        <is>
          <t>GEN-0018</t>
        </is>
      </c>
      <c r="C15" s="9" t="inlineStr">
        <is>
          <t>ACT_FIBER_NOT_PROVISIONED</t>
        </is>
      </c>
      <c r="D15" s="9" t="inlineStr">
        <is>
          <t>service_activation</t>
        </is>
      </c>
      <c r="E15" s="9" t="inlineStr">
        <is>
          <t>REVIEW</t>
        </is>
      </c>
      <c r="F15" s="10" t="n">
        <v>0.7749</v>
      </c>
      <c r="G15" s="10" t="n">
        <v>1</v>
      </c>
      <c r="H15" s="9" t="n">
        <v>0</v>
      </c>
      <c r="I15" s="9" t="n">
        <v>1</v>
      </c>
      <c r="J15" s="9" t="n">
        <v>1</v>
      </c>
      <c r="K15" s="9" t="n">
        <v>3</v>
      </c>
      <c r="L15" s="9" t="n">
        <v>2</v>
      </c>
      <c r="M15" s="9" t="inlineStr">
        <is>
          <t>No</t>
        </is>
      </c>
    </row>
    <row r="16">
      <c r="A16" s="9" t="inlineStr">
        <is>
          <t>H14</t>
        </is>
      </c>
      <c r="B16" s="9" t="inlineStr">
        <is>
          <t>GEN-0036</t>
        </is>
      </c>
      <c r="C16" s="9" t="inlineStr">
        <is>
          <t>HW_MODEM_NO_POWER</t>
        </is>
      </c>
      <c r="D16" s="9" t="inlineStr">
        <is>
          <t>hardware_problem</t>
        </is>
      </c>
      <c r="E16" s="9" t="inlineStr">
        <is>
          <t>RESOLVE</t>
        </is>
      </c>
      <c r="F16" s="10" t="n">
        <v>0.8195</v>
      </c>
      <c r="G16" s="10" t="n">
        <v>1</v>
      </c>
      <c r="H16" s="9" t="n">
        <v>0.75</v>
      </c>
      <c r="I16" s="9" t="n">
        <v>5</v>
      </c>
      <c r="J16" s="9" t="n">
        <v>4</v>
      </c>
      <c r="K16" s="9" t="n">
        <v>5</v>
      </c>
      <c r="L16" s="9" t="n">
        <v>5</v>
      </c>
      <c r="M16" s="9" t="inlineStr">
        <is>
          <t>No</t>
        </is>
      </c>
    </row>
    <row r="17">
      <c r="A17" s="9" t="inlineStr">
        <is>
          <t>H15</t>
        </is>
      </c>
      <c r="B17" s="9" t="inlineStr">
        <is>
          <t>GEN-0038</t>
        </is>
      </c>
      <c r="C17" s="9" t="inlineStr">
        <is>
          <t>ACT_FIBER_NOT_PROVISIONED</t>
        </is>
      </c>
      <c r="D17" s="9" t="inlineStr">
        <is>
          <t>service_activation</t>
        </is>
      </c>
      <c r="E17" s="9" t="inlineStr">
        <is>
          <t>ESCALATE</t>
        </is>
      </c>
      <c r="F17" s="10" t="n">
        <v>0.3344</v>
      </c>
      <c r="G17" s="10" t="n">
        <v>0</v>
      </c>
      <c r="H17" s="9" t="n">
        <v>0</v>
      </c>
      <c r="I17" s="9" t="n">
        <v>1</v>
      </c>
      <c r="J17" s="9" t="n">
        <v>1</v>
      </c>
      <c r="K17" s="9" t="n">
        <v>1</v>
      </c>
      <c r="L17" s="9" t="n">
        <v>1</v>
      </c>
      <c r="M17" s="9" t="inlineStr">
        <is>
          <t>Yes</t>
        </is>
      </c>
    </row>
    <row r="18">
      <c r="A18" s="9" t="inlineStr">
        <is>
          <t>H16</t>
        </is>
      </c>
      <c r="B18" s="9" t="inlineStr">
        <is>
          <t>GEN-0016</t>
        </is>
      </c>
      <c r="C18" s="9" t="inlineStr">
        <is>
          <t>BILL_DOUBLE_CHARGE</t>
        </is>
      </c>
      <c r="D18" s="9" t="inlineStr">
        <is>
          <t>billing_dispute</t>
        </is>
      </c>
      <c r="E18" s="9" t="inlineStr">
        <is>
          <t>RESOLVE</t>
        </is>
      </c>
      <c r="F18" s="10" t="n">
        <v>0.8617</v>
      </c>
      <c r="G18" s="10" t="n">
        <v>1</v>
      </c>
      <c r="H18" s="9" t="n">
        <v>0</v>
      </c>
      <c r="I18" s="9" t="n">
        <v>1</v>
      </c>
      <c r="J18" s="9" t="n">
        <v>1</v>
      </c>
      <c r="K18" s="9" t="n">
        <v>2</v>
      </c>
      <c r="L18" s="9" t="n">
        <v>1</v>
      </c>
      <c r="M18" s="9" t="inlineStr">
        <is>
          <t>No</t>
        </is>
      </c>
    </row>
    <row r="19">
      <c r="A19" s="9" t="inlineStr">
        <is>
          <t>H17</t>
        </is>
      </c>
      <c r="B19" s="9" t="inlineStr">
        <is>
          <t>GEN-0039</t>
        </is>
      </c>
      <c r="C19" s="9" t="inlineStr">
        <is>
          <t>OUT_PLANNED_MAINTENANCE</t>
        </is>
      </c>
      <c r="D19" s="9" t="inlineStr">
        <is>
          <t>outage_report</t>
        </is>
      </c>
      <c r="E19" s="9" t="inlineStr">
        <is>
          <t>RESOLVE</t>
        </is>
      </c>
      <c r="F19" s="10" t="n">
        <v>0.9041</v>
      </c>
      <c r="G19" s="10" t="n">
        <v>1</v>
      </c>
      <c r="H19" s="9" t="n">
        <v>1</v>
      </c>
      <c r="I19" s="9" t="n">
        <v>4</v>
      </c>
      <c r="J19" s="9" t="n">
        <v>4</v>
      </c>
      <c r="K19" s="9" t="n">
        <v>3</v>
      </c>
      <c r="L19" s="9" t="n">
        <v>5</v>
      </c>
      <c r="M19" s="9" t="inlineStr">
        <is>
          <t>No</t>
        </is>
      </c>
    </row>
    <row r="20">
      <c r="A20" s="9" t="inlineStr">
        <is>
          <t>H18</t>
        </is>
      </c>
      <c r="B20" s="9" t="inlineStr">
        <is>
          <t>GEN-0015</t>
        </is>
      </c>
      <c r="C20" s="9" t="inlineStr">
        <is>
          <t>CONN_MOBILE_INDOOR_SIGNAL</t>
        </is>
      </c>
      <c r="D20" s="9" t="inlineStr">
        <is>
          <t>connectivity_issue</t>
        </is>
      </c>
      <c r="E20" s="9" t="inlineStr">
        <is>
          <t>RESOLVE</t>
        </is>
      </c>
      <c r="F20" s="10" t="n">
        <v>0.9175</v>
      </c>
      <c r="G20" s="10" t="n">
        <v>1</v>
      </c>
      <c r="H20" s="9" t="n">
        <v>1</v>
      </c>
      <c r="I20" s="9" t="n">
        <v>5</v>
      </c>
      <c r="J20" s="9" t="n">
        <v>5</v>
      </c>
      <c r="K20" s="9" t="n">
        <v>4</v>
      </c>
      <c r="L20" s="9" t="n">
        <v>5</v>
      </c>
      <c r="M20" s="9" t="inlineStr">
        <is>
          <t>No</t>
        </is>
      </c>
    </row>
    <row r="21">
      <c r="A21" s="9" t="inlineStr">
        <is>
          <t>H19</t>
        </is>
      </c>
      <c r="B21" s="9" t="inlineStr">
        <is>
          <t>GEN-0025</t>
        </is>
      </c>
      <c r="C21" s="9" t="inlineStr">
        <is>
          <t>BILL_PROMO_EXPIRED</t>
        </is>
      </c>
      <c r="D21" s="9" t="inlineStr">
        <is>
          <t>billing_dispute</t>
        </is>
      </c>
      <c r="E21" s="9" t="inlineStr">
        <is>
          <t>RESOLVE</t>
        </is>
      </c>
      <c r="F21" s="10" t="n">
        <v>0.9093</v>
      </c>
      <c r="G21" s="10" t="n">
        <v>1</v>
      </c>
      <c r="H21" s="9" t="n">
        <v>1</v>
      </c>
      <c r="I21" s="9" t="n">
        <v>5</v>
      </c>
      <c r="J21" s="9" t="n">
        <v>5</v>
      </c>
      <c r="K21" s="9" t="n">
        <v>4</v>
      </c>
      <c r="L21" s="9" t="n">
        <v>5</v>
      </c>
      <c r="M21" s="9" t="inlineStr">
        <is>
          <t>No</t>
        </is>
      </c>
    </row>
    <row r="22">
      <c r="A22" s="9" t="inlineStr">
        <is>
          <t>H20</t>
        </is>
      </c>
      <c r="B22" s="9" t="inlineStr">
        <is>
          <t>GEN-0003</t>
        </is>
      </c>
      <c r="C22" s="9" t="inlineStr">
        <is>
          <t>CONN_WIFI_EVENING_INTERFERENCE</t>
        </is>
      </c>
      <c r="D22" s="9" t="inlineStr">
        <is>
          <t>connectivity_issue</t>
        </is>
      </c>
      <c r="E22" s="9" t="inlineStr">
        <is>
          <t>RESOLVE</t>
        </is>
      </c>
      <c r="F22" s="10" t="n">
        <v>0.9211</v>
      </c>
      <c r="G22" s="10" t="n">
        <v>1</v>
      </c>
      <c r="H22" s="9" t="n">
        <v>1</v>
      </c>
      <c r="I22" s="9" t="n">
        <v>5</v>
      </c>
      <c r="J22" s="9" t="n">
        <v>5</v>
      </c>
      <c r="K22" s="9" t="n">
        <v>5</v>
      </c>
      <c r="L22" s="9" t="n">
        <v>5</v>
      </c>
      <c r="M22" s="9" t="inlineStr">
        <is>
          <t>No</t>
        </is>
      </c>
    </row>
    <row r="23">
      <c r="A23" s="9" t="inlineStr">
        <is>
          <t>H21</t>
        </is>
      </c>
      <c r="B23" s="9" t="inlineStr">
        <is>
          <t>GEN-0006</t>
        </is>
      </c>
      <c r="C23" s="9" t="inlineStr">
        <is>
          <t>ACT_5G_NOT_PROVISIONED</t>
        </is>
      </c>
      <c r="D23" s="9" t="inlineStr">
        <is>
          <t>service_activation</t>
        </is>
      </c>
      <c r="E23" s="9" t="inlineStr">
        <is>
          <t>REVIEW</t>
        </is>
      </c>
      <c r="F23" s="10" t="n">
        <v>0.8204</v>
      </c>
      <c r="G23" s="10" t="n">
        <v>1</v>
      </c>
      <c r="H23" s="9" t="n">
        <v>0.6667</v>
      </c>
      <c r="I23" s="9" t="n">
        <v>4</v>
      </c>
      <c r="J23" s="9" t="n">
        <v>4</v>
      </c>
      <c r="K23" s="9" t="n">
        <v>5</v>
      </c>
      <c r="L23" s="9" t="n">
        <v>5</v>
      </c>
      <c r="M23" s="9" t="inlineStr">
        <is>
          <t>No</t>
        </is>
      </c>
    </row>
    <row r="24">
      <c r="A24" s="9" t="inlineStr">
        <is>
          <t>H22</t>
        </is>
      </c>
      <c r="B24" s="9" t="inlineStr">
        <is>
          <t>GEN-0024</t>
        </is>
      </c>
      <c r="C24" s="9" t="inlineStr">
        <is>
          <t>OUT_AREA_FIBER_CUT</t>
        </is>
      </c>
      <c r="D24" s="9" t="inlineStr">
        <is>
          <t>outage_report</t>
        </is>
      </c>
      <c r="E24" s="9" t="inlineStr">
        <is>
          <t>ESCALATE</t>
        </is>
      </c>
      <c r="F24" s="10" t="n">
        <v>0.7181999999999999</v>
      </c>
      <c r="G24" s="10" t="n">
        <v>0.8333</v>
      </c>
      <c r="H24" s="9" t="n">
        <v>0</v>
      </c>
      <c r="I24" s="9" t="n">
        <v>1</v>
      </c>
      <c r="J24" s="9" t="n">
        <v>1</v>
      </c>
      <c r="K24" s="9" t="n">
        <v>2</v>
      </c>
      <c r="L24" s="9" t="n">
        <v>2</v>
      </c>
      <c r="M24" s="9" t="inlineStr">
        <is>
          <t>No</t>
        </is>
      </c>
    </row>
    <row r="25">
      <c r="A25" s="9" t="inlineStr">
        <is>
          <t>H23</t>
        </is>
      </c>
      <c r="B25" s="9" t="inlineStr">
        <is>
          <t>GEN-0028</t>
        </is>
      </c>
      <c r="C25" s="9" t="inlineStr">
        <is>
          <t>BILL_DOUBLE_CHARGE</t>
        </is>
      </c>
      <c r="D25" s="9" t="inlineStr">
        <is>
          <t>billing_dispute</t>
        </is>
      </c>
      <c r="E25" s="9" t="inlineStr">
        <is>
          <t>REVIEW</t>
        </is>
      </c>
      <c r="F25" s="10" t="n">
        <v>0.9127</v>
      </c>
      <c r="G25" s="10" t="n">
        <v>1</v>
      </c>
      <c r="H25" s="9" t="n">
        <v>1</v>
      </c>
      <c r="I25" s="9" t="n">
        <v>5</v>
      </c>
      <c r="J25" s="9" t="n">
        <v>5</v>
      </c>
      <c r="K25" s="9" t="n">
        <v>5</v>
      </c>
      <c r="L25" s="9" t="n">
        <v>5</v>
      </c>
      <c r="M25" s="9" t="inlineStr">
        <is>
          <t>No</t>
        </is>
      </c>
    </row>
    <row r="26">
      <c r="A26" s="9" t="inlineStr">
        <is>
          <t>H24</t>
        </is>
      </c>
      <c r="B26" s="9" t="inlineStr">
        <is>
          <t>GEN-0022</t>
        </is>
      </c>
      <c r="C26" s="9" t="inlineStr">
        <is>
          <t>ACT_5G_NOT_PROVISIONED</t>
        </is>
      </c>
      <c r="D26" s="9" t="inlineStr">
        <is>
          <t>service_activation</t>
        </is>
      </c>
      <c r="E26" s="9" t="inlineStr">
        <is>
          <t>RESOLVE</t>
        </is>
      </c>
      <c r="F26" s="10" t="n">
        <v>0.8411999999999999</v>
      </c>
      <c r="G26" s="10" t="n">
        <v>1</v>
      </c>
      <c r="H26" s="9" t="n">
        <v>0</v>
      </c>
      <c r="I26" s="9" t="n">
        <v>2</v>
      </c>
      <c r="J26" s="9" t="n">
        <v>2</v>
      </c>
      <c r="K26" s="9" t="n">
        <v>3</v>
      </c>
      <c r="L26" s="9" t="n">
        <v>2</v>
      </c>
      <c r="M26" s="9" t="inlineStr">
        <is>
          <t>No</t>
        </is>
      </c>
    </row>
    <row r="27">
      <c r="A27" s="9" t="inlineStr">
        <is>
          <t>H25</t>
        </is>
      </c>
      <c r="B27" s="9" t="inlineStr">
        <is>
          <t>GEN-0046</t>
        </is>
      </c>
      <c r="C27" s="9" t="inlineStr">
        <is>
          <t>TECH_STATIC_IP</t>
        </is>
      </c>
      <c r="D27" s="9" t="inlineStr">
        <is>
          <t>technical_support</t>
        </is>
      </c>
      <c r="E27" s="9" t="inlineStr">
        <is>
          <t>RESOLVE</t>
        </is>
      </c>
      <c r="F27" s="10" t="n">
        <v>0.8963</v>
      </c>
      <c r="G27" s="10" t="n">
        <v>1</v>
      </c>
      <c r="H27" s="9" t="n">
        <v>1</v>
      </c>
      <c r="I27" s="9" t="n">
        <v>5</v>
      </c>
      <c r="J27" s="9" t="n">
        <v>5</v>
      </c>
      <c r="K27" s="9" t="n">
        <v>4</v>
      </c>
      <c r="L27" s="9" t="n">
        <v>5</v>
      </c>
      <c r="M27" s="9" t="inlineStr">
        <is>
          <t>No</t>
        </is>
      </c>
    </row>
    <row r="28">
      <c r="A28" s="9" t="inlineStr">
        <is>
          <t>H26</t>
        </is>
      </c>
      <c r="B28" s="9" t="inlineStr">
        <is>
          <t>GEN-0002</t>
        </is>
      </c>
      <c r="C28" s="9" t="inlineStr">
        <is>
          <t>SPEED_PEAK_CONGESTION</t>
        </is>
      </c>
      <c r="D28" s="9" t="inlineStr">
        <is>
          <t>speed_issue</t>
        </is>
      </c>
      <c r="E28" s="9" t="inlineStr">
        <is>
          <t>RESOLVE</t>
        </is>
      </c>
      <c r="F28" s="10" t="n">
        <v>0.8603</v>
      </c>
      <c r="G28" s="10" t="n">
        <v>1</v>
      </c>
      <c r="H28" s="9" t="n">
        <v>1</v>
      </c>
      <c r="I28" s="9" t="n">
        <v>5</v>
      </c>
      <c r="J28" s="9" t="n">
        <v>5</v>
      </c>
      <c r="K28" s="9" t="n">
        <v>5</v>
      </c>
      <c r="L28" s="9" t="n">
        <v>5</v>
      </c>
      <c r="M28" s="9" t="inlineStr">
        <is>
          <t>No</t>
        </is>
      </c>
    </row>
    <row r="29">
      <c r="A29" s="9" t="inlineStr">
        <is>
          <t>H27</t>
        </is>
      </c>
      <c r="B29" s="9" t="inlineStr">
        <is>
          <t>GEN-0019</t>
        </is>
      </c>
      <c r="C29" s="9" t="inlineStr">
        <is>
          <t>PLAN_UPGRADE_NOT_APPLIED</t>
        </is>
      </c>
      <c r="D29" s="9" t="inlineStr">
        <is>
          <t>plan_change</t>
        </is>
      </c>
      <c r="E29" s="9" t="inlineStr">
        <is>
          <t>RESOLVE</t>
        </is>
      </c>
      <c r="F29" s="10" t="n">
        <v>0.8211000000000001</v>
      </c>
      <c r="G29" s="10" t="n">
        <v>1</v>
      </c>
      <c r="H29" s="9" t="n">
        <v>0.75</v>
      </c>
      <c r="I29" s="9" t="n">
        <v>5</v>
      </c>
      <c r="J29" s="9" t="n">
        <v>5</v>
      </c>
      <c r="K29" s="9" t="n">
        <v>5</v>
      </c>
      <c r="L29" s="9" t="n">
        <v>5</v>
      </c>
      <c r="M29" s="9" t="inlineStr">
        <is>
          <t>No</t>
        </is>
      </c>
    </row>
    <row r="30">
      <c r="A30" s="9" t="inlineStr">
        <is>
          <t>H28</t>
        </is>
      </c>
      <c r="B30" s="9" t="inlineStr">
        <is>
          <t>GEN-0044</t>
        </is>
      </c>
      <c r="C30" s="9" t="inlineStr">
        <is>
          <t>TECH_STATIC_IP</t>
        </is>
      </c>
      <c r="D30" s="9" t="inlineStr">
        <is>
          <t>technical_support</t>
        </is>
      </c>
      <c r="E30" s="9" t="inlineStr">
        <is>
          <t>RESOLVE</t>
        </is>
      </c>
      <c r="F30" s="10" t="n">
        <v>0.881</v>
      </c>
      <c r="G30" s="10" t="n">
        <v>1</v>
      </c>
      <c r="H30" s="9" t="n">
        <v>1</v>
      </c>
      <c r="I30" s="9" t="n">
        <v>5</v>
      </c>
      <c r="J30" s="9" t="n">
        <v>5</v>
      </c>
      <c r="K30" s="9" t="n">
        <v>5</v>
      </c>
      <c r="L30" s="9" t="n">
        <v>5</v>
      </c>
      <c r="M30" s="9" t="inlineStr">
        <is>
          <t>No</t>
        </is>
      </c>
    </row>
    <row r="31">
      <c r="A31" s="9" t="inlineStr">
        <is>
          <t>H29</t>
        </is>
      </c>
      <c r="B31" s="9" t="inlineStr">
        <is>
          <t>GEN-0035</t>
        </is>
      </c>
      <c r="C31" s="9" t="inlineStr">
        <is>
          <t>BILL_PROMO_EXPIRED</t>
        </is>
      </c>
      <c r="D31" s="9" t="inlineStr">
        <is>
          <t>billing_dispute</t>
        </is>
      </c>
      <c r="E31" s="9" t="inlineStr">
        <is>
          <t>RESOLVE</t>
        </is>
      </c>
      <c r="F31" s="10" t="n">
        <v>0.9245</v>
      </c>
      <c r="G31" s="10" t="n">
        <v>1</v>
      </c>
      <c r="H31" s="9" t="n">
        <v>0.75</v>
      </c>
      <c r="I31" s="9" t="n">
        <v>5</v>
      </c>
      <c r="J31" s="9" t="n">
        <v>5</v>
      </c>
      <c r="K31" s="9" t="n">
        <v>4</v>
      </c>
      <c r="L31" s="9" t="n">
        <v>5</v>
      </c>
      <c r="M31" s="9" t="inlineStr">
        <is>
          <t>No</t>
        </is>
      </c>
    </row>
    <row r="32">
      <c r="A32" s="9" t="inlineStr">
        <is>
          <t>H30</t>
        </is>
      </c>
      <c r="B32" s="9" t="inlineStr">
        <is>
          <t>GEN-0005</t>
        </is>
      </c>
      <c r="C32" s="9" t="inlineStr">
        <is>
          <t>OUT_MOBILE_MAST</t>
        </is>
      </c>
      <c r="D32" s="9" t="inlineStr">
        <is>
          <t>outage_report</t>
        </is>
      </c>
      <c r="E32" s="9" t="inlineStr">
        <is>
          <t>REVIEW</t>
        </is>
      </c>
      <c r="F32" s="10" t="n">
        <v>0.8808</v>
      </c>
      <c r="G32" s="10" t="n">
        <v>1</v>
      </c>
      <c r="H32" s="9" t="n">
        <v>0.3333</v>
      </c>
      <c r="I32" s="9" t="n">
        <v>3</v>
      </c>
      <c r="J32" s="9" t="n">
        <v>2</v>
      </c>
      <c r="K32" s="9" t="n">
        <v>2</v>
      </c>
      <c r="L32" s="9" t="n">
        <v>3</v>
      </c>
      <c r="M32" s="9" t="inlineStr">
        <is>
          <t>No</t>
        </is>
      </c>
    </row>
    <row r="33">
      <c r="A33" s="9" t="inlineStr">
        <is>
          <t>H31</t>
        </is>
      </c>
      <c r="B33" s="9" t="inlineStr">
        <is>
          <t>GEN-0007</t>
        </is>
      </c>
      <c r="C33" s="9" t="inlineStr">
        <is>
          <t>TECH_PORT_FORWARDING</t>
        </is>
      </c>
      <c r="D33" s="9" t="inlineStr">
        <is>
          <t>technical_support</t>
        </is>
      </c>
      <c r="E33" s="9" t="inlineStr">
        <is>
          <t>RESOLVE</t>
        </is>
      </c>
      <c r="F33" s="10" t="n">
        <v>0.9083</v>
      </c>
      <c r="G33" s="10" t="n">
        <v>1</v>
      </c>
      <c r="H33" s="9" t="n">
        <v>1</v>
      </c>
      <c r="I33" s="9" t="n">
        <v>5</v>
      </c>
      <c r="J33" s="9" t="n">
        <v>5</v>
      </c>
      <c r="K33" s="9" t="n">
        <v>4</v>
      </c>
      <c r="L33" s="9" t="n">
        <v>5</v>
      </c>
      <c r="M33" s="9" t="inlineStr">
        <is>
          <t>No</t>
        </is>
      </c>
    </row>
    <row r="34">
      <c r="A34" s="9" t="inlineStr">
        <is>
          <t>H32</t>
        </is>
      </c>
      <c r="B34" s="9" t="inlineStr">
        <is>
          <t>GEN-0013</t>
        </is>
      </c>
      <c r="C34" s="9" t="inlineStr">
        <is>
          <t>ACT_FIBER_NOT_PROVISIONED</t>
        </is>
      </c>
      <c r="D34" s="9" t="inlineStr">
        <is>
          <t>service_activation</t>
        </is>
      </c>
      <c r="E34" s="9" t="inlineStr">
        <is>
          <t>RESOLVE</t>
        </is>
      </c>
      <c r="F34" s="10" t="n">
        <v>0.8557</v>
      </c>
      <c r="G34" s="10" t="n">
        <v>1</v>
      </c>
      <c r="H34" s="9" t="n">
        <v>0.75</v>
      </c>
      <c r="I34" s="9" t="n">
        <v>3</v>
      </c>
      <c r="J34" s="9" t="n">
        <v>2</v>
      </c>
      <c r="K34" s="9" t="n">
        <v>3</v>
      </c>
      <c r="L34" s="9" t="n">
        <v>2</v>
      </c>
      <c r="M34" s="9" t="inlineStr">
        <is>
          <t>No</t>
        </is>
      </c>
    </row>
    <row r="35">
      <c r="A35" s="9" t="inlineStr">
        <is>
          <t>H33</t>
        </is>
      </c>
      <c r="B35" s="9" t="inlineStr">
        <is>
          <t>GEN-0023</t>
        </is>
      </c>
      <c r="C35" s="9" t="inlineStr">
        <is>
          <t>CONN_DSL_LINE_NOISE</t>
        </is>
      </c>
      <c r="D35" s="9" t="inlineStr">
        <is>
          <t>connectivity_issue</t>
        </is>
      </c>
      <c r="E35" s="9" t="inlineStr">
        <is>
          <t>REVIEW</t>
        </is>
      </c>
      <c r="F35" s="10" t="n">
        <v>0.8146</v>
      </c>
      <c r="G35" s="10" t="n">
        <v>1</v>
      </c>
      <c r="H35" s="9" t="n">
        <v>1</v>
      </c>
      <c r="I35" s="9" t="n">
        <v>5</v>
      </c>
      <c r="J35" s="9" t="n">
        <v>5</v>
      </c>
      <c r="K35" s="9" t="n">
        <v>5</v>
      </c>
      <c r="L35" s="9" t="n">
        <v>5</v>
      </c>
      <c r="M35" s="9" t="inlineStr">
        <is>
          <t>No</t>
        </is>
      </c>
    </row>
    <row r="36">
      <c r="A36" s="9" t="inlineStr">
        <is>
          <t>H34</t>
        </is>
      </c>
      <c r="B36" s="9" t="inlineStr">
        <is>
          <t>GEN-0052</t>
        </is>
      </c>
      <c r="C36" s="9" t="inlineStr">
        <is>
          <t>CONN_FIBER_ONT_LOS</t>
        </is>
      </c>
      <c r="D36" s="9" t="inlineStr">
        <is>
          <t>connectivity_issue</t>
        </is>
      </c>
      <c r="E36" s="9" t="inlineStr">
        <is>
          <t>RESOLVE</t>
        </is>
      </c>
      <c r="F36" s="10" t="n">
        <v>0.8549</v>
      </c>
      <c r="G36" s="10" t="n">
        <v>1</v>
      </c>
      <c r="H36" s="9" t="n">
        <v>1</v>
      </c>
      <c r="I36" s="9" t="n">
        <v>5</v>
      </c>
      <c r="J36" s="9" t="n">
        <v>5</v>
      </c>
      <c r="K36" s="9" t="n">
        <v>5</v>
      </c>
      <c r="L36" s="9" t="n">
        <v>5</v>
      </c>
      <c r="M36" s="9" t="inlineStr">
        <is>
          <t>No</t>
        </is>
      </c>
    </row>
    <row r="37">
      <c r="A37" s="9" t="inlineStr">
        <is>
          <t>H35</t>
        </is>
      </c>
      <c r="B37" s="9" t="inlineStr">
        <is>
          <t>GEN-0017</t>
        </is>
      </c>
      <c r="C37" s="9" t="inlineStr">
        <is>
          <t>CONN_DNS_FAILURE</t>
        </is>
      </c>
      <c r="D37" s="9" t="inlineStr">
        <is>
          <t>connectivity_issue</t>
        </is>
      </c>
      <c r="E37" s="9" t="inlineStr">
        <is>
          <t>RESOLVE</t>
        </is>
      </c>
      <c r="F37" s="10" t="n">
        <v>0.9056999999999999</v>
      </c>
      <c r="G37" s="10" t="n">
        <v>1</v>
      </c>
      <c r="H37" s="9" t="n">
        <v>1</v>
      </c>
      <c r="I37" s="9" t="n">
        <v>5</v>
      </c>
      <c r="J37" s="9" t="n">
        <v>5</v>
      </c>
      <c r="K37" s="9" t="n">
        <v>5</v>
      </c>
      <c r="L37" s="9" t="n">
        <v>5</v>
      </c>
      <c r="M37" s="9" t="inlineStr">
        <is>
          <t>No</t>
        </is>
      </c>
    </row>
    <row r="38">
      <c r="A38" s="9" t="inlineStr">
        <is>
          <t>H36</t>
        </is>
      </c>
      <c r="B38" s="9" t="inlineStr">
        <is>
          <t>GEN-0042</t>
        </is>
      </c>
      <c r="C38" s="9" t="inlineStr">
        <is>
          <t>CONN_DNS_FAILURE</t>
        </is>
      </c>
      <c r="D38" s="9" t="inlineStr">
        <is>
          <t>connectivity_issue</t>
        </is>
      </c>
      <c r="E38" s="9" t="inlineStr">
        <is>
          <t>RESOLVE</t>
        </is>
      </c>
      <c r="F38" s="10" t="n">
        <v>0.8383</v>
      </c>
      <c r="G38" s="10" t="n">
        <v>1</v>
      </c>
      <c r="H38" s="9" t="n">
        <v>1</v>
      </c>
      <c r="I38" s="9" t="n">
        <v>5</v>
      </c>
      <c r="J38" s="9" t="n">
        <v>5</v>
      </c>
      <c r="K38" s="9" t="n">
        <v>5</v>
      </c>
      <c r="L38" s="9" t="n">
        <v>5</v>
      </c>
      <c r="M38" s="9" t="inlineStr">
        <is>
          <t>No</t>
        </is>
      </c>
    </row>
    <row r="39">
      <c r="A39" s="9" t="inlineStr">
        <is>
          <t>H37</t>
        </is>
      </c>
      <c r="B39" s="9" t="inlineStr">
        <is>
          <t>GEN-0014</t>
        </is>
      </c>
      <c r="C39" s="9" t="inlineStr">
        <is>
          <t>ACT_PORT_IN_STUCK</t>
        </is>
      </c>
      <c r="D39" s="9" t="inlineStr">
        <is>
          <t>service_activation</t>
        </is>
      </c>
      <c r="E39" s="9" t="inlineStr">
        <is>
          <t>RESOLVE</t>
        </is>
      </c>
      <c r="F39" s="10" t="n">
        <v>0.8751</v>
      </c>
      <c r="G39" s="10" t="n">
        <v>1</v>
      </c>
      <c r="H39" s="9" t="n">
        <v>1</v>
      </c>
      <c r="I39" s="9" t="n">
        <v>5</v>
      </c>
      <c r="J39" s="9" t="n">
        <v>5</v>
      </c>
      <c r="K39" s="9" t="n">
        <v>4</v>
      </c>
      <c r="L39" s="9" t="n">
        <v>4</v>
      </c>
      <c r="M39" s="9" t="inlineStr">
        <is>
          <t>No</t>
        </is>
      </c>
    </row>
    <row r="40">
      <c r="A40" s="9" t="inlineStr">
        <is>
          <t>H38</t>
        </is>
      </c>
      <c r="B40" s="9" t="inlineStr">
        <is>
          <t>GEN-0050</t>
        </is>
      </c>
      <c r="C40" s="9" t="inlineStr">
        <is>
          <t>SPEED_FIBER_PLAN_MISMATCH</t>
        </is>
      </c>
      <c r="D40" s="9" t="inlineStr">
        <is>
          <t>speed_issue</t>
        </is>
      </c>
      <c r="E40" s="9" t="inlineStr">
        <is>
          <t>RESOLVE</t>
        </is>
      </c>
      <c r="F40" s="10" t="n">
        <v>0.8901</v>
      </c>
      <c r="G40" s="10" t="n">
        <v>1</v>
      </c>
      <c r="H40" s="9" t="n">
        <v>0.25</v>
      </c>
      <c r="I40" s="9" t="n">
        <v>1</v>
      </c>
      <c r="J40" s="9" t="n">
        <v>1</v>
      </c>
      <c r="K40" s="9" t="n">
        <v>2</v>
      </c>
      <c r="L40" s="9" t="n">
        <v>1</v>
      </c>
      <c r="M40" s="9" t="inlineStr">
        <is>
          <t>No</t>
        </is>
      </c>
    </row>
    <row r="41">
      <c r="A41" s="9" t="inlineStr">
        <is>
          <t>H39</t>
        </is>
      </c>
      <c r="B41" s="9" t="inlineStr">
        <is>
          <t>GEN-0034</t>
        </is>
      </c>
      <c r="C41" s="9" t="inlineStr">
        <is>
          <t>BILL_PREMIUM_SMS</t>
        </is>
      </c>
      <c r="D41" s="9" t="inlineStr">
        <is>
          <t>billing_dispute</t>
        </is>
      </c>
      <c r="E41" s="9" t="inlineStr">
        <is>
          <t>RESOLVE</t>
        </is>
      </c>
      <c r="F41" s="10" t="n">
        <v>0.9032</v>
      </c>
      <c r="G41" s="10" t="n">
        <v>1</v>
      </c>
      <c r="H41" s="9" t="n">
        <v>1</v>
      </c>
      <c r="I41" s="9" t="n">
        <v>5</v>
      </c>
      <c r="J41" s="9" t="n">
        <v>5</v>
      </c>
      <c r="K41" s="9" t="n">
        <v>4</v>
      </c>
      <c r="L41" s="9" t="n">
        <v>5</v>
      </c>
      <c r="M41" s="9" t="inlineStr">
        <is>
          <t>No</t>
        </is>
      </c>
    </row>
    <row r="42">
      <c r="A42" s="9" t="inlineStr">
        <is>
          <t>H40</t>
        </is>
      </c>
      <c r="B42" s="9" t="inlineStr">
        <is>
          <t>GEN-0032</t>
        </is>
      </c>
      <c r="C42" s="9" t="inlineStr">
        <is>
          <t>TECH_VOICEMAIL_SETUP</t>
        </is>
      </c>
      <c r="D42" s="9" t="inlineStr">
        <is>
          <t>technical_support</t>
        </is>
      </c>
      <c r="E42" s="9" t="inlineStr">
        <is>
          <t>RESOLVE</t>
        </is>
      </c>
      <c r="F42" s="10" t="n">
        <v>0.9233</v>
      </c>
      <c r="G42" s="10" t="n">
        <v>1</v>
      </c>
      <c r="H42" s="9" t="n">
        <v>1</v>
      </c>
      <c r="I42" s="9" t="n">
        <v>5</v>
      </c>
      <c r="J42" s="9" t="n">
        <v>5</v>
      </c>
      <c r="K42" s="9" t="n">
        <v>4</v>
      </c>
      <c r="L42" s="9" t="n">
        <v>5</v>
      </c>
      <c r="M42" s="9" t="inlineStr">
        <is>
          <t>No</t>
        </is>
      </c>
    </row>
    <row r="43">
      <c r="A43" s="9" t="inlineStr">
        <is>
          <t>H41</t>
        </is>
      </c>
      <c r="B43" s="9" t="inlineStr">
        <is>
          <t>GEN-0010</t>
        </is>
      </c>
      <c r="C43" s="9" t="inlineStr">
        <is>
          <t>ACC_CHANGE_HOLDER</t>
        </is>
      </c>
      <c r="D43" s="9" t="inlineStr">
        <is>
          <t>account_management</t>
        </is>
      </c>
      <c r="E43" s="9" t="inlineStr">
        <is>
          <t>ESCALATE</t>
        </is>
      </c>
      <c r="F43" s="10" t="n">
        <v>0.6860000000000001</v>
      </c>
      <c r="G43" s="10" t="n">
        <v>1</v>
      </c>
      <c r="H43" s="9" t="n">
        <v>1</v>
      </c>
      <c r="I43" s="9" t="n">
        <v>5</v>
      </c>
      <c r="J43" s="9" t="n">
        <v>5</v>
      </c>
      <c r="K43" s="9" t="n">
        <v>4</v>
      </c>
      <c r="L43" s="9" t="n">
        <v>5</v>
      </c>
      <c r="M43" s="9" t="inlineStr">
        <is>
          <t>No</t>
        </is>
      </c>
    </row>
    <row r="44">
      <c r="A44" s="9" t="inlineStr">
        <is>
          <t>H42</t>
        </is>
      </c>
      <c r="B44" s="9" t="inlineStr">
        <is>
          <t>GEN-0033</t>
        </is>
      </c>
      <c r="C44" s="9" t="inlineStr">
        <is>
          <t>BILL_PROMO_EXPIRED</t>
        </is>
      </c>
      <c r="D44" s="9" t="inlineStr">
        <is>
          <t>billing_dispute</t>
        </is>
      </c>
      <c r="E44" s="9" t="inlineStr">
        <is>
          <t>RESOLVE</t>
        </is>
      </c>
      <c r="F44" s="10" t="n">
        <v>0.9036</v>
      </c>
      <c r="G44" s="10" t="n">
        <v>1</v>
      </c>
      <c r="H44" s="9" t="n">
        <v>0.75</v>
      </c>
      <c r="I44" s="9" t="n">
        <v>5</v>
      </c>
      <c r="J44" s="9" t="n">
        <v>5</v>
      </c>
      <c r="K44" s="9" t="n">
        <v>4</v>
      </c>
      <c r="L44" s="9" t="n">
        <v>5</v>
      </c>
      <c r="M44" s="9" t="inlineStr">
        <is>
          <t>No</t>
        </is>
      </c>
    </row>
    <row r="45">
      <c r="A45" s="9" t="inlineStr">
        <is>
          <t>H43</t>
        </is>
      </c>
      <c r="B45" s="9" t="inlineStr">
        <is>
          <t>GEN-0027</t>
        </is>
      </c>
      <c r="C45" s="9" t="inlineStr">
        <is>
          <t>ACC_AUTOPAY_FAILING</t>
        </is>
      </c>
      <c r="D45" s="9" t="inlineStr">
        <is>
          <t>account_management</t>
        </is>
      </c>
      <c r="E45" s="9" t="inlineStr">
        <is>
          <t>RESOLVE</t>
        </is>
      </c>
      <c r="F45" s="10" t="n">
        <v>0.8754999999999999</v>
      </c>
      <c r="G45" s="10" t="n">
        <v>1</v>
      </c>
      <c r="H45" s="9" t="n">
        <v>1</v>
      </c>
      <c r="I45" s="9" t="n">
        <v>5</v>
      </c>
      <c r="J45" s="9" t="n">
        <v>5</v>
      </c>
      <c r="K45" s="9" t="n">
        <v>5</v>
      </c>
      <c r="L45" s="9" t="n">
        <v>5</v>
      </c>
      <c r="M45" s="9" t="inlineStr">
        <is>
          <t>No</t>
        </is>
      </c>
    </row>
    <row r="46">
      <c r="A46" s="9" t="inlineStr">
        <is>
          <t>H44</t>
        </is>
      </c>
      <c r="B46" s="9" t="inlineStr">
        <is>
          <t>GEN-0021</t>
        </is>
      </c>
      <c r="C46" s="9" t="inlineStr">
        <is>
          <t>ACC_OTP_NOT_RECEIVED</t>
        </is>
      </c>
      <c r="D46" s="9" t="inlineStr">
        <is>
          <t>account_management</t>
        </is>
      </c>
      <c r="E46" s="9" t="inlineStr">
        <is>
          <t>RESOLVE</t>
        </is>
      </c>
      <c r="F46" s="10" t="n">
        <v>0.9357</v>
      </c>
      <c r="G46" s="10" t="n">
        <v>1</v>
      </c>
      <c r="H46" s="9" t="n">
        <v>0.75</v>
      </c>
      <c r="I46" s="9" t="n">
        <v>5</v>
      </c>
      <c r="J46" s="9" t="n">
        <v>5</v>
      </c>
      <c r="K46" s="9" t="n">
        <v>4</v>
      </c>
      <c r="L46" s="9" t="n">
        <v>5</v>
      </c>
      <c r="M46" s="9" t="inlineStr">
        <is>
          <t>No</t>
        </is>
      </c>
    </row>
    <row r="47">
      <c r="A47" s="9" t="inlineStr">
        <is>
          <t>H45</t>
        </is>
      </c>
      <c r="B47" s="9" t="inlineStr">
        <is>
          <t>GEN-0004</t>
        </is>
      </c>
      <c r="C47" s="9" t="inlineStr">
        <is>
          <t>OUT_PLANNED_MAINTENANCE</t>
        </is>
      </c>
      <c r="D47" s="9" t="inlineStr">
        <is>
          <t>outage_report</t>
        </is>
      </c>
      <c r="E47" s="9" t="inlineStr">
        <is>
          <t>REVIEW</t>
        </is>
      </c>
      <c r="F47" s="10" t="n">
        <v>0.8631</v>
      </c>
      <c r="G47" s="10" t="n">
        <v>1</v>
      </c>
      <c r="H47" s="9" t="n">
        <v>1</v>
      </c>
      <c r="I47" s="9" t="n">
        <v>5</v>
      </c>
      <c r="J47" s="9" t="n">
        <v>4</v>
      </c>
      <c r="K47" s="9" t="n">
        <v>5</v>
      </c>
      <c r="L47" s="9" t="n">
        <v>4</v>
      </c>
      <c r="M47" s="9" t="inlineStr">
        <is>
          <t>No</t>
        </is>
      </c>
    </row>
    <row r="48">
      <c r="A48" s="9" t="inlineStr">
        <is>
          <t>H46</t>
        </is>
      </c>
      <c r="B48" s="9" t="inlineStr">
        <is>
          <t>GEN-0043</t>
        </is>
      </c>
      <c r="C48" s="9" t="inlineStr">
        <is>
          <t>BILL_PREMIUM_SMS</t>
        </is>
      </c>
      <c r="D48" s="9" t="inlineStr">
        <is>
          <t>billing_dispute</t>
        </is>
      </c>
      <c r="E48" s="9" t="inlineStr">
        <is>
          <t>RESOLVE</t>
        </is>
      </c>
      <c r="F48" s="10" t="n">
        <v>0.9416</v>
      </c>
      <c r="G48" s="10" t="n">
        <v>1</v>
      </c>
      <c r="H48" s="9" t="n">
        <v>1</v>
      </c>
      <c r="I48" s="9" t="n">
        <v>5</v>
      </c>
      <c r="J48" s="9" t="n">
        <v>5</v>
      </c>
      <c r="K48" s="9" t="n">
        <v>3</v>
      </c>
      <c r="L48" s="9" t="n">
        <v>5</v>
      </c>
      <c r="M48" s="9" t="inlineStr">
        <is>
          <t>No</t>
        </is>
      </c>
    </row>
    <row r="49">
      <c r="A49" s="9" t="inlineStr">
        <is>
          <t>H47</t>
        </is>
      </c>
      <c r="B49" s="9" t="inlineStr">
        <is>
          <t>GEN-0048</t>
        </is>
      </c>
      <c r="C49" s="9" t="inlineStr">
        <is>
          <t>ACC_LOCKED_OUT</t>
        </is>
      </c>
      <c r="D49" s="9" t="inlineStr">
        <is>
          <t>account_management</t>
        </is>
      </c>
      <c r="E49" s="9" t="inlineStr">
        <is>
          <t>RESOLVE</t>
        </is>
      </c>
      <c r="F49" s="10" t="n">
        <v>0.9156</v>
      </c>
      <c r="G49" s="10" t="n">
        <v>1</v>
      </c>
      <c r="H49" s="9" t="n">
        <v>1</v>
      </c>
      <c r="I49" s="9" t="n">
        <v>5</v>
      </c>
      <c r="J49" s="9" t="n">
        <v>5</v>
      </c>
      <c r="K49" s="9" t="n">
        <v>4</v>
      </c>
      <c r="L49" s="9" t="n">
        <v>5</v>
      </c>
      <c r="M49" s="9" t="inlineStr">
        <is>
          <t>No</t>
        </is>
      </c>
    </row>
    <row r="50">
      <c r="A50" s="9" t="inlineStr">
        <is>
          <t>H48</t>
        </is>
      </c>
      <c r="B50" s="9" t="inlineStr">
        <is>
          <t>GEN-0041</t>
        </is>
      </c>
      <c r="C50" s="9" t="inlineStr">
        <is>
          <t>TECH_STATIC_IP</t>
        </is>
      </c>
      <c r="D50" s="9" t="inlineStr">
        <is>
          <t>technical_support</t>
        </is>
      </c>
      <c r="E50" s="9" t="inlineStr">
        <is>
          <t>RESOLVE</t>
        </is>
      </c>
      <c r="F50" s="10" t="n">
        <v>0.9112</v>
      </c>
      <c r="G50" s="10" t="n">
        <v>1</v>
      </c>
      <c r="H50" s="9" t="n">
        <v>1</v>
      </c>
      <c r="I50" s="9" t="n">
        <v>5</v>
      </c>
      <c r="J50" s="9" t="n">
        <v>4</v>
      </c>
      <c r="K50" s="9" t="n">
        <v>4</v>
      </c>
      <c r="L50" s="9" t="n">
        <v>5</v>
      </c>
      <c r="M50" s="9" t="inlineStr">
        <is>
          <t>No</t>
        </is>
      </c>
    </row>
    <row r="51">
      <c r="A51" s="9" t="inlineStr">
        <is>
          <t>H49</t>
        </is>
      </c>
      <c r="B51" s="9" t="inlineStr">
        <is>
          <t>GEN-0049</t>
        </is>
      </c>
      <c r="C51" s="9" t="inlineStr">
        <is>
          <t>HW_SIM_NOT_DETECTED</t>
        </is>
      </c>
      <c r="D51" s="9" t="inlineStr">
        <is>
          <t>hardware_problem</t>
        </is>
      </c>
      <c r="E51" s="9" t="inlineStr">
        <is>
          <t>RESOLVE</t>
        </is>
      </c>
      <c r="F51" s="10" t="n">
        <v>0.9147</v>
      </c>
      <c r="G51" s="10" t="n">
        <v>1</v>
      </c>
      <c r="H51" s="9" t="n">
        <v>1</v>
      </c>
      <c r="I51" s="9" t="n">
        <v>5</v>
      </c>
      <c r="J51" s="9" t="n">
        <v>5</v>
      </c>
      <c r="K51" s="9" t="n">
        <v>5</v>
      </c>
      <c r="L51" s="9" t="n">
        <v>5</v>
      </c>
      <c r="M51" s="9" t="inlineStr">
        <is>
          <t>No</t>
        </is>
      </c>
    </row>
    <row r="52">
      <c r="A52" s="9" t="inlineStr">
        <is>
          <t>H50</t>
        </is>
      </c>
      <c r="B52" s="9" t="inlineStr">
        <is>
          <t>GEN-0001</t>
        </is>
      </c>
      <c r="C52" s="9" t="inlineStr">
        <is>
          <t>SPEED_5G_FALLBACK</t>
        </is>
      </c>
      <c r="D52" s="9" t="inlineStr">
        <is>
          <t>speed_issue</t>
        </is>
      </c>
      <c r="E52" s="9" t="inlineStr">
        <is>
          <t>RESOLVE</t>
        </is>
      </c>
      <c r="F52" s="10" t="n">
        <v>0.8135</v>
      </c>
      <c r="G52" s="10" t="n">
        <v>1</v>
      </c>
      <c r="H52" s="9" t="n">
        <v>1</v>
      </c>
      <c r="I52" s="9" t="n">
        <v>3</v>
      </c>
      <c r="J52" s="9" t="n">
        <v>4</v>
      </c>
      <c r="K52" s="9" t="n">
        <v>4</v>
      </c>
      <c r="L52" s="9" t="n">
        <v>3</v>
      </c>
      <c r="M52" s="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2" customWidth="1" min="1" max="1"/>
    <col width="14" customWidth="1" min="2" max="2"/>
    <col width="70" customWidth="1" min="3" max="3"/>
  </cols>
  <sheetData>
    <row r="1">
      <c r="A1" s="11" t="inlineStr">
        <is>
          <t>Open after rating is complete.</t>
        </is>
      </c>
      <c r="B1" s="11" t="n"/>
      <c r="C1" s="11" t="n"/>
    </row>
    <row r="2">
      <c r="A2" s="12" t="inlineStr">
        <is>
          <t>Metric</t>
        </is>
      </c>
      <c r="B2" s="12" t="inlineStr">
        <is>
          <t>Value</t>
        </is>
      </c>
      <c r="C2" s="12" t="inlineStr">
        <is>
          <t>How it is computed</t>
        </is>
      </c>
    </row>
    <row r="3">
      <c r="A3" s="13" t="inlineStr">
        <is>
          <t>Samples rated (correctness filled)</t>
        </is>
      </c>
      <c r="B3" s="13">
        <f>COUNT(Ratings!H3:H52)</f>
        <v/>
      </c>
      <c r="C3" s="13" t="inlineStr">
        <is>
          <t>count of numeric correctness ratings</t>
        </is>
      </c>
    </row>
    <row r="4">
      <c r="A4" s="13" t="inlineStr">
        <is>
          <t>Mean relevance (1-5)</t>
        </is>
      </c>
      <c r="B4" s="14">
        <f>IFERROR(AVERAGE(Ratings!F3:F52),"-")</f>
        <v/>
      </c>
      <c r="C4" s="13" t="inlineStr">
        <is>
          <t>average of rated rows</t>
        </is>
      </c>
    </row>
    <row r="5">
      <c r="A5" s="13" t="inlineStr">
        <is>
          <t>Mean completeness (1-5)</t>
        </is>
      </c>
      <c r="B5" s="14">
        <f>IFERROR(AVERAGE(Ratings!G3:G52),"-")</f>
        <v/>
      </c>
      <c r="C5" s="13" t="inlineStr">
        <is>
          <t>average of rated rows</t>
        </is>
      </c>
    </row>
    <row r="6">
      <c r="A6" s="13" t="inlineStr">
        <is>
          <t>Mean correctness (1-5)</t>
        </is>
      </c>
      <c r="B6" s="14">
        <f>IFERROR(AVERAGE(Ratings!H3:H52),"-")</f>
        <v/>
      </c>
      <c r="C6" s="13" t="inlineStr">
        <is>
          <t>average of rated rows</t>
        </is>
      </c>
    </row>
    <row r="7">
      <c r="A7" s="13" t="inlineStr">
        <is>
          <t>Share safe to use as-is</t>
        </is>
      </c>
      <c r="B7" s="15">
        <f>IFERROR(COUNTIF(Ratings!I3:I52,"Yes")/COUNTA(Ratings!I3:I52),"-")</f>
        <v/>
      </c>
      <c r="C7" s="13" t="inlineStr">
        <is>
          <t>Yes / answered</t>
        </is>
      </c>
    </row>
    <row r="8">
      <c r="A8" s="13" t="inlineStr">
        <is>
          <t>Human decisions: RESOLVE</t>
        </is>
      </c>
      <c r="B8" s="13">
        <f>COUNTIF(Ratings!J3:J52,"RESOLVE")</f>
        <v/>
      </c>
      <c r="C8" s="13" t="inlineStr"/>
    </row>
    <row r="9">
      <c r="A9" s="13" t="inlineStr">
        <is>
          <t>Human decisions: REVIEW</t>
        </is>
      </c>
      <c r="B9" s="13">
        <f>COUNTIF(Ratings!J3:J52,"REVIEW")</f>
        <v/>
      </c>
      <c r="C9" s="13" t="inlineStr"/>
    </row>
    <row r="10">
      <c r="A10" s="13" t="inlineStr">
        <is>
          <t>Human decisions: ESCALATE</t>
        </is>
      </c>
      <c r="B10" s="13">
        <f>COUNTIF(Ratings!J3:J52,"ESCALATE")</f>
        <v/>
      </c>
      <c r="C10" s="13" t="inlineStr"/>
    </row>
    <row r="11">
      <c r="A11" s="13" t="inlineStr">
        <is>
          <t>System decisions: RESOLVE</t>
        </is>
      </c>
      <c r="B11" s="13">
        <f>COUNTIF(System!E3:E52,"RESOLVE")</f>
        <v/>
      </c>
      <c r="C11" s="13" t="inlineStr">
        <is>
          <t>from the hidden System sheet</t>
        </is>
      </c>
    </row>
    <row r="12">
      <c r="A12" s="13" t="inlineStr">
        <is>
          <t>System decisions: REVIEW</t>
        </is>
      </c>
      <c r="B12" s="13">
        <f>COUNTIF(System!E3:E52,"REVIEW")</f>
        <v/>
      </c>
      <c r="C12" s="13" t="inlineStr"/>
    </row>
    <row r="13">
      <c r="A13" s="13" t="inlineStr">
        <is>
          <t>System decisions: ESCALATE</t>
        </is>
      </c>
      <c r="B13" s="13">
        <f>COUNTIF(System!E3:E52,"ESCALATE")</f>
        <v/>
      </c>
      <c r="C13" s="13" t="inlineStr"/>
    </row>
    <row r="14">
      <c r="A14" s="13" t="inlineStr">
        <is>
          <t>Decision agreement (human = system)</t>
        </is>
      </c>
      <c r="B14" s="15">
        <f>IFERROR(SUMPRODUCT((Ratings!J3:J52&lt;&gt;"")*(Ratings!J3:J52=System!E3:E52))/COUNTA(Ratings!J3:J52),"-")</f>
        <v/>
      </c>
      <c r="C14" s="13" t="inlineStr">
        <is>
          <t>share of answered rows where your decision equals the system's</t>
        </is>
      </c>
    </row>
    <row r="15">
      <c r="A15" s="13" t="inlineStr">
        <is>
          <t>Share safe, among system RESOLVE</t>
        </is>
      </c>
      <c r="B15" s="15">
        <f>IFERROR(SUMPRODUCT((System!E3:E52="RESOLVE")*(Ratings!I3:I52="Yes"))/SUMPRODUCT((System!E3:E52="RESOLVE")*(Ratings!I3:I52&lt;&gt;"")),"-")</f>
        <v/>
      </c>
      <c r="C15" s="13" t="inlineStr">
        <is>
          <t>precision of RESOLVE: how often an auto-resolved draft was actually safe</t>
        </is>
      </c>
    </row>
    <row r="16">
      <c r="A16" s="13" t="inlineStr">
        <is>
          <t>Mean human correctness | system RESOLVE</t>
        </is>
      </c>
      <c r="B16" s="14">
        <f>IFERROR(AVERAGEIFS(Ratings!H3:H52,System!E3:E52,"RESOLVE"),"-")</f>
        <v/>
      </c>
      <c r="C16" s="13" t="inlineStr">
        <is>
          <t>should be highest</t>
        </is>
      </c>
    </row>
    <row r="17">
      <c r="A17" s="13" t="inlineStr">
        <is>
          <t>Mean human correctness | system REVIEW</t>
        </is>
      </c>
      <c r="B17" s="14">
        <f>IFERROR(AVERAGEIFS(Ratings!H3:H52,System!E3:E52,"REVIEW"),"-")</f>
        <v/>
      </c>
      <c r="C17" s="13" t="inlineStr"/>
    </row>
    <row r="18">
      <c r="A18" s="13" t="inlineStr">
        <is>
          <t>Mean human correctness | system ESCALATE</t>
        </is>
      </c>
      <c r="B18" s="14">
        <f>IFERROR(AVERAGEIFS(Ratings!H3:H52,System!E3:E52,"ESCALATE"),"-")</f>
        <v/>
      </c>
      <c r="C18" s="13" t="inlineStr">
        <is>
          <t>should be lowest</t>
        </is>
      </c>
    </row>
    <row r="19">
      <c r="A19" s="13" t="inlineStr">
        <is>
          <t>Mean LLM-judge correctness (same 50 drafts)</t>
        </is>
      </c>
      <c r="B19" s="14">
        <f>IFERROR(AVERAGE(System!L3:L52),"-")</f>
        <v/>
      </c>
      <c r="C19" s="13" t="inlineStr">
        <is>
          <t>compare with mean human correctness</t>
        </is>
      </c>
    </row>
    <row r="20">
      <c r="A20" s="13" t="inlineStr">
        <is>
          <t>Correlation: human vs LLM-judge correctness</t>
        </is>
      </c>
      <c r="B20" s="14">
        <f>IFERROR(CORREL(Ratings!H3:H52,System!L3:L52),"-")</f>
        <v/>
      </c>
      <c r="C20" s="13" t="inlineStr">
        <is>
          <t>Pearson over rated rows; validates the LLM judge</t>
        </is>
      </c>
    </row>
    <row r="21">
      <c r="A21" s="13" t="inlineStr">
        <is>
          <t>Correlation: human correctness vs heuristic confidence</t>
        </is>
      </c>
      <c r="B21" s="14">
        <f>IFERROR(CORREL(Ratings!H3:H52,System!F3:F52),"-")</f>
        <v/>
      </c>
      <c r="C21" s="13" t="inlineStr">
        <is>
          <t>does the confidence score track quality?</t>
        </is>
      </c>
    </row>
    <row r="22">
      <c r="A22" s="13" t="inlineStr">
        <is>
          <t>Correlation: human completeness vs auto reference-step recall</t>
        </is>
      </c>
      <c r="B22" s="14">
        <f>IFERROR(CORREL(Ratings!G3:G52,System!H3:H52),"-")</f>
        <v/>
      </c>
      <c r="C22" s="13" t="inlineStr">
        <is>
          <t>validates the automatic recall metric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2026-10-02T20:08:29Z</dcterms:created>
  <dcterms:modified xsi:type="dcterms:W3CDTF">2026-10-02T20:08:29Z</dcterms:modified>
</cp:coreProperties>
</file>